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05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Data/Users/scottkellish/Documents/Christmas List/"/>
    </mc:Choice>
  </mc:AlternateContent>
  <xr:revisionPtr revIDLastSave="0" documentId="13_ncr:1_{730D602A-417F-0B48-B046-1450B197CA30}" xr6:coauthVersionLast="47" xr6:coauthVersionMax="47" xr10:uidLastSave="{00000000-0000-0000-0000-000000000000}"/>
  <bookViews>
    <workbookView xWindow="0" yWindow="500" windowWidth="38400" windowHeight="21100" tabRatio="334" xr2:uid="{00000000-000D-0000-FFFF-FFFF00000000}"/>
  </bookViews>
  <sheets>
    <sheet name="Sheet1" sheetId="1" r:id="rId1"/>
  </sheets>
  <definedNames>
    <definedName name="_xlnm._FilterDatabase" localSheetId="0" hidden="1">Sheet1!$A$1:$S$112</definedName>
    <definedName name="addresses" localSheetId="0">Sheet1!$C$91:$L$105</definedName>
    <definedName name="post1818432" localSheetId="0">Sheet1!#REF!</definedName>
    <definedName name="post1819183" localSheetId="0">Sheet1!#REF!</definedName>
    <definedName name="post1822368" localSheetId="0">Sheet1!#REF!</definedName>
    <definedName name="post1822379" localSheetId="0">Sheet1!#REF!</definedName>
    <definedName name="post1822381" localSheetId="0">Sheet1!#REF!</definedName>
    <definedName name="post1822392" localSheetId="0">Sheet1!#REF!</definedName>
    <definedName name="_xlnm.Print_Area" localSheetId="0">Sheet1!$N:$N</definedName>
    <definedName name="Recipients">Sheet1!$1:$77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15" i="1" l="1"/>
  <c r="N115" i="1"/>
  <c r="P115" i="1" s="1"/>
  <c r="N114" i="1"/>
  <c r="P114" i="1" s="1"/>
  <c r="O114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N113" i="1"/>
  <c r="N112" i="1"/>
  <c r="P112" i="1" s="1"/>
  <c r="N111" i="1"/>
  <c r="N48" i="1"/>
  <c r="N110" i="1"/>
  <c r="N109" i="1"/>
  <c r="N108" i="1"/>
  <c r="N87" i="1"/>
  <c r="N27" i="1"/>
  <c r="N18" i="1"/>
  <c r="P113" i="1" l="1"/>
  <c r="P111" i="1"/>
  <c r="P110" i="1"/>
  <c r="P109" i="1"/>
  <c r="P108" i="1"/>
  <c r="P48" i="1"/>
  <c r="N4" i="1"/>
  <c r="N60" i="1"/>
  <c r="P60" i="1" s="1"/>
  <c r="N58" i="1"/>
  <c r="P58" i="1" s="1"/>
  <c r="N6" i="1"/>
  <c r="N2" i="1"/>
  <c r="N34" i="1"/>
  <c r="N57" i="1"/>
  <c r="N35" i="1"/>
  <c r="N36" i="1"/>
  <c r="N88" i="1"/>
  <c r="N3" i="1"/>
  <c r="N69" i="1"/>
  <c r="N101" i="1"/>
  <c r="P101" i="1" s="1"/>
  <c r="N26" i="1"/>
  <c r="P26" i="1" s="1"/>
  <c r="N91" i="1"/>
  <c r="P91" i="1" s="1"/>
  <c r="N17" i="1"/>
  <c r="P87" i="1"/>
  <c r="N5" i="1"/>
  <c r="O2" i="1"/>
  <c r="N23" i="1"/>
  <c r="P23" i="1" s="1"/>
  <c r="N75" i="1"/>
  <c r="P27" i="1"/>
  <c r="N96" i="1"/>
  <c r="P96" i="1" s="1"/>
  <c r="N41" i="1"/>
  <c r="N76" i="1"/>
  <c r="N38" i="1"/>
  <c r="P38" i="1" s="1"/>
  <c r="N61" i="1"/>
  <c r="P61" i="1" s="1"/>
  <c r="P3" i="1" l="1"/>
  <c r="P34" i="1"/>
  <c r="P2" i="1"/>
  <c r="P6" i="1"/>
  <c r="P69" i="1"/>
  <c r="P4" i="1"/>
  <c r="P76" i="1"/>
  <c r="P88" i="1"/>
  <c r="P17" i="1"/>
  <c r="P36" i="1"/>
  <c r="P35" i="1"/>
  <c r="P57" i="1"/>
  <c r="N15" i="1"/>
  <c r="P18" i="1"/>
  <c r="N68" i="1"/>
  <c r="N104" i="1"/>
  <c r="N22" i="1"/>
  <c r="P22" i="1" s="1"/>
  <c r="N72" i="1"/>
  <c r="P72" i="1" s="1"/>
  <c r="P15" i="1" l="1"/>
  <c r="P104" i="1"/>
  <c r="P68" i="1"/>
  <c r="N29" i="1"/>
  <c r="N21" i="1"/>
  <c r="P21" i="1" s="1"/>
  <c r="N73" i="1" l="1"/>
  <c r="N106" i="1"/>
  <c r="P106" i="1" s="1"/>
  <c r="N103" i="1"/>
  <c r="P103" i="1" s="1"/>
  <c r="N83" i="1"/>
  <c r="P83" i="1" s="1"/>
  <c r="N25" i="1"/>
  <c r="P25" i="1" s="1"/>
  <c r="N19" i="1"/>
  <c r="N102" i="1"/>
  <c r="N55" i="1"/>
  <c r="P55" i="1" s="1"/>
  <c r="N79" i="1"/>
  <c r="N93" i="1"/>
  <c r="N9" i="1"/>
  <c r="N33" i="1"/>
  <c r="N32" i="1"/>
  <c r="N81" i="1"/>
  <c r="N99" i="1"/>
  <c r="N100" i="1"/>
  <c r="P100" i="1" s="1"/>
  <c r="N12" i="1"/>
  <c r="P12" i="1" s="1"/>
  <c r="N85" i="1"/>
  <c r="N24" i="1"/>
  <c r="N54" i="1"/>
  <c r="N98" i="1"/>
  <c r="N78" i="1"/>
  <c r="N94" i="1"/>
  <c r="N107" i="1"/>
  <c r="N105" i="1"/>
  <c r="N97" i="1"/>
  <c r="N95" i="1"/>
  <c r="P95" i="1" s="1"/>
  <c r="N92" i="1"/>
  <c r="P92" i="1" s="1"/>
  <c r="N89" i="1"/>
  <c r="P89" i="1" s="1"/>
  <c r="N90" i="1"/>
  <c r="P90" i="1" s="1"/>
  <c r="N86" i="1"/>
  <c r="N84" i="1"/>
  <c r="N82" i="1"/>
  <c r="N80" i="1"/>
  <c r="N74" i="1"/>
  <c r="N77" i="1"/>
  <c r="N71" i="1"/>
  <c r="N70" i="1"/>
  <c r="P70" i="1" s="1"/>
  <c r="N67" i="1"/>
  <c r="P67" i="1" s="1"/>
  <c r="N66" i="1"/>
  <c r="P66" i="1" s="1"/>
  <c r="N65" i="1"/>
  <c r="P65" i="1" s="1"/>
  <c r="N64" i="1"/>
  <c r="P64" i="1" s="1"/>
  <c r="N62" i="1"/>
  <c r="N63" i="1"/>
  <c r="N59" i="1"/>
  <c r="N56" i="1"/>
  <c r="N53" i="1"/>
  <c r="N52" i="1"/>
  <c r="N51" i="1"/>
  <c r="N50" i="1"/>
  <c r="P50" i="1" s="1"/>
  <c r="N49" i="1"/>
  <c r="P49" i="1" s="1"/>
  <c r="N46" i="1"/>
  <c r="P46" i="1" s="1"/>
  <c r="N43" i="1"/>
  <c r="P43" i="1" s="1"/>
  <c r="N47" i="1"/>
  <c r="P47" i="1" s="1"/>
  <c r="N44" i="1"/>
  <c r="N45" i="1"/>
  <c r="N42" i="1"/>
  <c r="N40" i="1"/>
  <c r="N39" i="1"/>
  <c r="P39" i="1" s="1"/>
  <c r="N30" i="1"/>
  <c r="N28" i="1"/>
  <c r="N31" i="1"/>
  <c r="N37" i="1"/>
  <c r="P37" i="1" s="1"/>
  <c r="N20" i="1"/>
  <c r="P20" i="1" s="1"/>
  <c r="N16" i="1"/>
  <c r="P16" i="1" s="1"/>
  <c r="N14" i="1"/>
  <c r="P14" i="1" s="1"/>
  <c r="N13" i="1"/>
  <c r="N11" i="1"/>
  <c r="N10" i="1"/>
  <c r="N8" i="1"/>
  <c r="N7" i="1"/>
  <c r="P75" i="1"/>
  <c r="P41" i="1"/>
  <c r="P29" i="1"/>
  <c r="P5" i="1"/>
  <c r="P85" i="1" l="1"/>
  <c r="P33" i="1"/>
  <c r="P9" i="1"/>
  <c r="P31" i="1"/>
  <c r="P97" i="1"/>
  <c r="P93" i="1"/>
  <c r="P51" i="1"/>
  <c r="P86" i="1"/>
  <c r="P99" i="1"/>
  <c r="P71" i="1"/>
  <c r="P102" i="1"/>
  <c r="P32" i="1"/>
  <c r="P28" i="1"/>
  <c r="P30" i="1"/>
  <c r="P52" i="1"/>
  <c r="P77" i="1"/>
  <c r="P107" i="1"/>
  <c r="P79" i="1"/>
  <c r="P7" i="1"/>
  <c r="P53" i="1"/>
  <c r="P74" i="1"/>
  <c r="P94" i="1"/>
  <c r="P105" i="1"/>
  <c r="P8" i="1"/>
  <c r="P40" i="1"/>
  <c r="P56" i="1"/>
  <c r="P80" i="1"/>
  <c r="P78" i="1"/>
  <c r="P81" i="1"/>
  <c r="P42" i="1"/>
  <c r="P59" i="1"/>
  <c r="P82" i="1"/>
  <c r="P98" i="1"/>
  <c r="P11" i="1"/>
  <c r="P45" i="1"/>
  <c r="P63" i="1"/>
  <c r="P84" i="1"/>
  <c r="P54" i="1"/>
  <c r="P73" i="1"/>
  <c r="P10" i="1"/>
  <c r="P13" i="1"/>
  <c r="P44" i="1"/>
  <c r="P62" i="1"/>
  <c r="P24" i="1"/>
  <c r="P1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016BBE-B3A8-CE4E-8F73-D0570256F353}" name="addresses" type="6" refreshedVersion="8" background="1" saveData="1">
    <textPr sourceFile="/Volumes/Data-Hackintosh/Users/skellish/Downloads/addresses.csv" tab="0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<sst xmlns="http://schemas.openxmlformats.org/spreadsheetml/2006/main" count="1002" uniqueCount="576">
  <si>
    <t>Title</t>
  </si>
  <si>
    <t>First Name(s)</t>
  </si>
  <si>
    <t>Second Name</t>
  </si>
  <si>
    <t>Last Name</t>
  </si>
  <si>
    <t>Mr. and Mrs.</t>
  </si>
  <si>
    <t>William</t>
  </si>
  <si>
    <t>Carol</t>
  </si>
  <si>
    <t>Andrew</t>
  </si>
  <si>
    <t>Jim</t>
  </si>
  <si>
    <t>Cindy</t>
  </si>
  <si>
    <t>Bauer</t>
  </si>
  <si>
    <t>Chris</t>
  </si>
  <si>
    <t>Bollwage</t>
  </si>
  <si>
    <t>1113 Coolidge Rd</t>
  </si>
  <si>
    <t>Bradley</t>
  </si>
  <si>
    <t>443 Charnwood Rd</t>
  </si>
  <si>
    <t>Kevin</t>
  </si>
  <si>
    <t>Barbara</t>
  </si>
  <si>
    <t>Brady</t>
  </si>
  <si>
    <t>11 Ridge Rd</t>
  </si>
  <si>
    <t>Paul</t>
  </si>
  <si>
    <t>Mary Ellen</t>
  </si>
  <si>
    <t>Butterly</t>
  </si>
  <si>
    <t>135 Fairview Rd</t>
  </si>
  <si>
    <t>Ms.</t>
  </si>
  <si>
    <t>Gail</t>
  </si>
  <si>
    <t>Camuso</t>
  </si>
  <si>
    <t>John</t>
  </si>
  <si>
    <t>Chorazak</t>
  </si>
  <si>
    <t>18042-8753</t>
  </si>
  <si>
    <t>Gwen</t>
  </si>
  <si>
    <t>Dickson</t>
  </si>
  <si>
    <t>Kris</t>
  </si>
  <si>
    <t>James</t>
  </si>
  <si>
    <t>Flood</t>
  </si>
  <si>
    <t>Mr.</t>
  </si>
  <si>
    <t>Thomas</t>
  </si>
  <si>
    <t>David</t>
  </si>
  <si>
    <t>Jane</t>
  </si>
  <si>
    <t>Peter</t>
  </si>
  <si>
    <t>Mrs.</t>
  </si>
  <si>
    <t>Joyce</t>
  </si>
  <si>
    <t>Kellish</t>
  </si>
  <si>
    <t>Tina</t>
  </si>
  <si>
    <t>Joel</t>
  </si>
  <si>
    <t>Theresa</t>
  </si>
  <si>
    <t>Robert</t>
  </si>
  <si>
    <t>Kiernan</t>
  </si>
  <si>
    <t>Kirk</t>
  </si>
  <si>
    <t>Timothy</t>
  </si>
  <si>
    <t>Lori</t>
  </si>
  <si>
    <t>668 Lexington Rd</t>
  </si>
  <si>
    <t>Edward</t>
  </si>
  <si>
    <t>Jordan</t>
  </si>
  <si>
    <t>Renee</t>
  </si>
  <si>
    <t>Kuperschmid</t>
  </si>
  <si>
    <t>Labella</t>
  </si>
  <si>
    <t>Edie</t>
  </si>
  <si>
    <t>Larkin</t>
  </si>
  <si>
    <t>Jose</t>
  </si>
  <si>
    <t>Patty</t>
  </si>
  <si>
    <t>Leon</t>
  </si>
  <si>
    <t>Mr and Mrs</t>
  </si>
  <si>
    <t>Damon</t>
  </si>
  <si>
    <t>Logiudice</t>
  </si>
  <si>
    <t>08505-3184</t>
  </si>
  <si>
    <t>Lynch</t>
  </si>
  <si>
    <t>Susan</t>
  </si>
  <si>
    <t>Frank</t>
  </si>
  <si>
    <t>Eileen</t>
  </si>
  <si>
    <t>McGovern</t>
  </si>
  <si>
    <t>214 Elizabeth Ave</t>
  </si>
  <si>
    <t>Midura</t>
  </si>
  <si>
    <t xml:space="preserve">Mr and Mrs </t>
  </si>
  <si>
    <t>Lynn</t>
  </si>
  <si>
    <t>Louis</t>
  </si>
  <si>
    <t>Patricia</t>
  </si>
  <si>
    <t>Miele</t>
  </si>
  <si>
    <t>Brian</t>
  </si>
  <si>
    <t>Myers</t>
  </si>
  <si>
    <t>Gregory</t>
  </si>
  <si>
    <t>Natchez</t>
  </si>
  <si>
    <t>O'Brien</t>
  </si>
  <si>
    <t>Caryn</t>
  </si>
  <si>
    <t>Phillips</t>
  </si>
  <si>
    <t>Robbins</t>
  </si>
  <si>
    <t>Russell</t>
  </si>
  <si>
    <t>Richard</t>
  </si>
  <si>
    <t>Satyavan</t>
  </si>
  <si>
    <t>49 Silver Hollow</t>
  </si>
  <si>
    <t>Anthony</t>
  </si>
  <si>
    <t>Scarangella</t>
  </si>
  <si>
    <t>Schanck</t>
  </si>
  <si>
    <t>Daniel</t>
  </si>
  <si>
    <t>Laurie</t>
  </si>
  <si>
    <t>Guy</t>
  </si>
  <si>
    <t>Jen</t>
  </si>
  <si>
    <t>Spina</t>
  </si>
  <si>
    <t>Carman</t>
  </si>
  <si>
    <t>Maria</t>
  </si>
  <si>
    <t>Douglas</t>
  </si>
  <si>
    <t>Steinke</t>
  </si>
  <si>
    <t>Talbot</t>
  </si>
  <si>
    <t>Thorpe</t>
  </si>
  <si>
    <t>Michael</t>
  </si>
  <si>
    <t>Debbie</t>
  </si>
  <si>
    <t>Walsh</t>
  </si>
  <si>
    <t>Jean</t>
  </si>
  <si>
    <t>Masumi</t>
  </si>
  <si>
    <t>Kathy</t>
  </si>
  <si>
    <t>Claire</t>
  </si>
  <si>
    <t>Missy</t>
  </si>
  <si>
    <t>Pieczynski</t>
  </si>
  <si>
    <t>23456-2492</t>
  </si>
  <si>
    <t>State</t>
  </si>
  <si>
    <t>New York</t>
  </si>
  <si>
    <t>Cherry Valley</t>
  </si>
  <si>
    <t>Elizabeth</t>
  </si>
  <si>
    <t>New Providence</t>
  </si>
  <si>
    <t>Clark</t>
  </si>
  <si>
    <t>Caldwell</t>
  </si>
  <si>
    <t>Union</t>
  </si>
  <si>
    <t>Scotch Plains</t>
  </si>
  <si>
    <t>Randolph</t>
  </si>
  <si>
    <t>Somerset</t>
  </si>
  <si>
    <t>Bordentown</t>
  </si>
  <si>
    <t>Cranford</t>
  </si>
  <si>
    <t>Bridgewater</t>
  </si>
  <si>
    <t>Colonia</t>
  </si>
  <si>
    <t>Belvidere</t>
  </si>
  <si>
    <t>North Brunswick</t>
  </si>
  <si>
    <t>Easton</t>
  </si>
  <si>
    <t>Bovina Center</t>
  </si>
  <si>
    <t>Franklin</t>
  </si>
  <si>
    <t>Durham</t>
  </si>
  <si>
    <t>Raleigh</t>
  </si>
  <si>
    <t>Virginia Beach</t>
  </si>
  <si>
    <t>Tulsa</t>
  </si>
  <si>
    <t>Card Received
2011</t>
  </si>
  <si>
    <t>Dennis</t>
  </si>
  <si>
    <t>Wombough</t>
  </si>
  <si>
    <t>Artie</t>
  </si>
  <si>
    <t>Bethlehem</t>
  </si>
  <si>
    <t>Wall Township</t>
  </si>
  <si>
    <t>07753-6913</t>
  </si>
  <si>
    <t>07066-2601</t>
  </si>
  <si>
    <t>08807-5622</t>
  </si>
  <si>
    <t>Doreen</t>
  </si>
  <si>
    <t>Stiskal</t>
  </si>
  <si>
    <t>07083-9143</t>
  </si>
  <si>
    <t xml:space="preserve">Ginger and Vicki </t>
  </si>
  <si>
    <t>Sadowski</t>
  </si>
  <si>
    <t>Marlboro</t>
  </si>
  <si>
    <t>07746-2449</t>
  </si>
  <si>
    <t>Malcolm</t>
  </si>
  <si>
    <t>Toon</t>
  </si>
  <si>
    <t>Cape Elizabeth</t>
  </si>
  <si>
    <t>Sherri</t>
  </si>
  <si>
    <t>Lowell</t>
  </si>
  <si>
    <t>Nina</t>
  </si>
  <si>
    <t>Emily</t>
  </si>
  <si>
    <t>Ginnie</t>
  </si>
  <si>
    <t>Rosemary</t>
  </si>
  <si>
    <t>02038-3030</t>
  </si>
  <si>
    <t>18017-8461</t>
  </si>
  <si>
    <t>Eckert</t>
  </si>
  <si>
    <t>Hart</t>
  </si>
  <si>
    <t>272 Center Church Rd</t>
  </si>
  <si>
    <t>Guillermo</t>
  </si>
  <si>
    <t>Trisha</t>
  </si>
  <si>
    <t>Reina</t>
  </si>
  <si>
    <t>City</t>
  </si>
  <si>
    <t>Address1</t>
  </si>
  <si>
    <t>Address2</t>
  </si>
  <si>
    <t>City,ST,Zip</t>
  </si>
  <si>
    <t>Chitra</t>
  </si>
  <si>
    <t>Zip</t>
  </si>
  <si>
    <t>OK</t>
  </si>
  <si>
    <t>NY</t>
  </si>
  <si>
    <t>NJ</t>
  </si>
  <si>
    <t>07208-1005</t>
  </si>
  <si>
    <t>07974-1306</t>
  </si>
  <si>
    <t>07066-2915</t>
  </si>
  <si>
    <t>07066-2904</t>
  </si>
  <si>
    <t>PA</t>
  </si>
  <si>
    <t>OR</t>
  </si>
  <si>
    <t>15317-3062</t>
  </si>
  <si>
    <t>07066-2916</t>
  </si>
  <si>
    <t>07076-4517</t>
  </si>
  <si>
    <t>07823-2001</t>
  </si>
  <si>
    <t>07006-4918</t>
  </si>
  <si>
    <t>07083-9113</t>
  </si>
  <si>
    <t>07083-6904</t>
  </si>
  <si>
    <t>07208-1006</t>
  </si>
  <si>
    <t>10003-5005</t>
  </si>
  <si>
    <t>07076-2438</t>
  </si>
  <si>
    <t>NC</t>
  </si>
  <si>
    <t>08873-6435</t>
  </si>
  <si>
    <t>07083-9105</t>
  </si>
  <si>
    <t>07016-2423</t>
  </si>
  <si>
    <t>07016-1746</t>
  </si>
  <si>
    <t>13740-6662</t>
  </si>
  <si>
    <t>07869-2715</t>
  </si>
  <si>
    <t>CA</t>
  </si>
  <si>
    <t>VA</t>
  </si>
  <si>
    <t>MA</t>
  </si>
  <si>
    <t>08902-2665</t>
  </si>
  <si>
    <t>27705-1351</t>
  </si>
  <si>
    <t>07066-3005</t>
  </si>
  <si>
    <t>07067-2409</t>
  </si>
  <si>
    <t>ME</t>
  </si>
  <si>
    <t>04107-2204</t>
  </si>
  <si>
    <t>55 Connard Dr</t>
  </si>
  <si>
    <t>18 Ridge Rd</t>
  </si>
  <si>
    <t>2421 Hill Rd</t>
  </si>
  <si>
    <t>8 Wakefield Pl</t>
  </si>
  <si>
    <t>1144 Coolidge Rd</t>
  </si>
  <si>
    <t>46 Clydesdale Rd</t>
  </si>
  <si>
    <t>13 Denbigh Dr</t>
  </si>
  <si>
    <t>641 Bennington Dr</t>
  </si>
  <si>
    <t>19 Farmington Ct</t>
  </si>
  <si>
    <t>4703 Broad St</t>
  </si>
  <si>
    <t>51 Colonial Dr</t>
  </si>
  <si>
    <t>37 Beech St</t>
  </si>
  <si>
    <t>340 Paul Rabeler Rd</t>
  </si>
  <si>
    <t>2 Hutchins Ln</t>
  </si>
  <si>
    <t>10 King Dr</t>
  </si>
  <si>
    <t>2680 Alameda Dr</t>
  </si>
  <si>
    <t>120 Washington St</t>
  </si>
  <si>
    <t>12 Wakefield Pl</t>
  </si>
  <si>
    <t>4 Goldenrod Pl</t>
  </si>
  <si>
    <t>58 Fordham Pl</t>
  </si>
  <si>
    <t>4471 Loraine Ln</t>
  </si>
  <si>
    <t>685 Salem Rd</t>
  </si>
  <si>
    <t>303 Highgate Ct</t>
  </si>
  <si>
    <t>11 Longfellow Dr</t>
  </si>
  <si>
    <t>707 4th St</t>
  </si>
  <si>
    <t>952 Johnson Pl Floor 2</t>
  </si>
  <si>
    <t>77 E 12th St Apt 9C</t>
  </si>
  <si>
    <t>Name</t>
  </si>
  <si>
    <t xml:space="preserve">Mrs. </t>
  </si>
  <si>
    <t>Jennifer</t>
  </si>
  <si>
    <t>Scully</t>
  </si>
  <si>
    <t>36 Edgewood Ave</t>
  </si>
  <si>
    <t>07974-1721</t>
  </si>
  <si>
    <t>Matthew</t>
  </si>
  <si>
    <t>Danielle</t>
  </si>
  <si>
    <t>Tropeano</t>
  </si>
  <si>
    <t>17 Ridge Rd</t>
  </si>
  <si>
    <t>Mark</t>
  </si>
  <si>
    <t>Treacy</t>
  </si>
  <si>
    <t>31 Ridge Rd</t>
  </si>
  <si>
    <t>Scanzani</t>
  </si>
  <si>
    <t>140 Reno Ave</t>
  </si>
  <si>
    <t>Staten Island</t>
  </si>
  <si>
    <t>10306-4234</t>
  </si>
  <si>
    <t>233 Westfield Rd</t>
  </si>
  <si>
    <t>07076-1352</t>
  </si>
  <si>
    <t>Fresco</t>
  </si>
  <si>
    <t>43 Devon Lane</t>
  </si>
  <si>
    <t>07066-3007</t>
  </si>
  <si>
    <t>McMurray</t>
  </si>
  <si>
    <t>Nantucket</t>
  </si>
  <si>
    <t>4 New Lane</t>
  </si>
  <si>
    <t>02554-2196</t>
  </si>
  <si>
    <t>Goes</t>
  </si>
  <si>
    <t>Vivian</t>
  </si>
  <si>
    <t>Avenida Diogo Cão, N15 - 2C </t>
  </si>
  <si>
    <t>Portugal </t>
  </si>
  <si>
    <t>João</t>
  </si>
  <si>
    <t>2670-327 Infantado Loures</t>
  </si>
  <si>
    <t>Boyle</t>
  </si>
  <si>
    <t>Andy Godek and Ms. Coleen</t>
  </si>
  <si>
    <t>29 Gibson Blvd</t>
  </si>
  <si>
    <t>07066-1516</t>
  </si>
  <si>
    <t>Brad</t>
  </si>
  <si>
    <t>Erin</t>
  </si>
  <si>
    <t>87 St Germain Drive</t>
  </si>
  <si>
    <t>Salkin</t>
  </si>
  <si>
    <t>07066-2621</t>
  </si>
  <si>
    <t>Briana</t>
  </si>
  <si>
    <t>41 Roseland Avenue</t>
  </si>
  <si>
    <t>Warren</t>
  </si>
  <si>
    <t>07059-5748</t>
  </si>
  <si>
    <t>Philipp</t>
  </si>
  <si>
    <t>Schaefer</t>
  </si>
  <si>
    <t>KS</t>
  </si>
  <si>
    <t>Luis</t>
  </si>
  <si>
    <t>Kelly</t>
  </si>
  <si>
    <t>Couto</t>
  </si>
  <si>
    <t>23 Ridge Road</t>
  </si>
  <si>
    <t xml:space="preserve">Dr. </t>
  </si>
  <si>
    <t>Ann Mary</t>
  </si>
  <si>
    <t>Fang</t>
  </si>
  <si>
    <t>299 Springfield Avenue</t>
  </si>
  <si>
    <t>Berkeley Heights</t>
  </si>
  <si>
    <t>07922-1215</t>
  </si>
  <si>
    <t>Send</t>
  </si>
  <si>
    <t>No</t>
  </si>
  <si>
    <t>Carrie</t>
  </si>
  <si>
    <t>Volle</t>
  </si>
  <si>
    <t>3691 Butler Road</t>
  </si>
  <si>
    <t xml:space="preserve">Grantville </t>
  </si>
  <si>
    <t>66429-9275</t>
  </si>
  <si>
    <t>Williams</t>
  </si>
  <si>
    <t>Julie</t>
  </si>
  <si>
    <t>9 Ambler Drive</t>
  </si>
  <si>
    <t>Bedford</t>
  </si>
  <si>
    <t>10506-1540</t>
  </si>
  <si>
    <t>4850 90th St</t>
  </si>
  <si>
    <t>Chippewa Falls</t>
  </si>
  <si>
    <t>WI</t>
  </si>
  <si>
    <t>54729-3789</t>
  </si>
  <si>
    <t>Brooklyn</t>
  </si>
  <si>
    <t>NO</t>
  </si>
  <si>
    <t>Katie</t>
  </si>
  <si>
    <t>4020 Fracchia Road</t>
  </si>
  <si>
    <t>Ukiah</t>
  </si>
  <si>
    <t>95482-8915</t>
  </si>
  <si>
    <t>222 Lynn Drive</t>
  </si>
  <si>
    <t>Franklin Lakes</t>
  </si>
  <si>
    <t>07417-2327</t>
  </si>
  <si>
    <t>Cherry</t>
  </si>
  <si>
    <t>Ramirez</t>
  </si>
  <si>
    <t>1851 White Cliff Way</t>
  </si>
  <si>
    <t>San Mateo</t>
  </si>
  <si>
    <t>94402-3754</t>
  </si>
  <si>
    <t>Sonny</t>
  </si>
  <si>
    <t>Max</t>
  </si>
  <si>
    <t>Lisa</t>
  </si>
  <si>
    <t>Dietz</t>
  </si>
  <si>
    <t>20441 Harry Road</t>
  </si>
  <si>
    <t>San Jose</t>
  </si>
  <si>
    <t>95120-2314</t>
  </si>
  <si>
    <t>and Family</t>
  </si>
  <si>
    <t>Bob</t>
  </si>
  <si>
    <t>93 Woods Road</t>
  </si>
  <si>
    <t>Port Jervis</t>
  </si>
  <si>
    <t>12771-3415</t>
  </si>
  <si>
    <t>Pratti and Family</t>
  </si>
  <si>
    <t>Jill</t>
  </si>
  <si>
    <t>Duff and Family</t>
  </si>
  <si>
    <t>Tom</t>
  </si>
  <si>
    <t>Wacaster</t>
  </si>
  <si>
    <t>20 Hilltop Avenue</t>
  </si>
  <si>
    <t>07066-2906</t>
  </si>
  <si>
    <t xml:space="preserve">Mr. and Mrs. </t>
  </si>
  <si>
    <t>Morristown</t>
  </si>
  <si>
    <t>07960-4909</t>
  </si>
  <si>
    <t>28 Hilltop Avenue</t>
  </si>
  <si>
    <t>Cook</t>
  </si>
  <si>
    <t>Vicki</t>
  </si>
  <si>
    <t>505 Raritan Road</t>
  </si>
  <si>
    <t>07066-2203</t>
  </si>
  <si>
    <t>FL</t>
  </si>
  <si>
    <t>34787-0032</t>
  </si>
  <si>
    <t>Castaldi and Son</t>
  </si>
  <si>
    <t>7136 Enchanted Lake Drive</t>
  </si>
  <si>
    <t>Winter Garden</t>
  </si>
  <si>
    <t>Gordanville</t>
  </si>
  <si>
    <t>2325 Brick Drive</t>
  </si>
  <si>
    <t>Longs</t>
  </si>
  <si>
    <t>SC</t>
  </si>
  <si>
    <t>29568-8806</t>
  </si>
  <si>
    <t>63 Pleasant Road</t>
  </si>
  <si>
    <t>17529-9538</t>
  </si>
  <si>
    <t>93 6th Avenue</t>
  </si>
  <si>
    <t>11217-2830</t>
  </si>
  <si>
    <t>PO Box 424</t>
  </si>
  <si>
    <t>01083-0424</t>
  </si>
  <si>
    <t>340 Western Ave</t>
  </si>
  <si>
    <t>Michalczyk</t>
  </si>
  <si>
    <t>07066-2905</t>
  </si>
  <si>
    <t>31 Hilltop Ave</t>
  </si>
  <si>
    <t xml:space="preserve">Tom Michalczyk and Mrs. Susan </t>
  </si>
  <si>
    <t>Alec</t>
  </si>
  <si>
    <t>Philadelphia</t>
  </si>
  <si>
    <t>1701 South Quincy Avenue</t>
  </si>
  <si>
    <t>74120-7008</t>
  </si>
  <si>
    <t>P.O. Box 1</t>
  </si>
  <si>
    <t>Brookside</t>
  </si>
  <si>
    <t>07926-0001</t>
  </si>
  <si>
    <t>Margaret</t>
  </si>
  <si>
    <t>Ronn</t>
  </si>
  <si>
    <t>124 Glenmoor Cir. S</t>
  </si>
  <si>
    <t>18045-2178</t>
  </si>
  <si>
    <t>1296 Boyce Road</t>
  </si>
  <si>
    <t>Box 203</t>
  </si>
  <si>
    <t>Upper St Clair</t>
  </si>
  <si>
    <t>15241-4032</t>
  </si>
  <si>
    <t>Mr.and Mrs.</t>
  </si>
  <si>
    <t>Glenda</t>
  </si>
  <si>
    <t>Taylor</t>
  </si>
  <si>
    <t>Morris Plains</t>
  </si>
  <si>
    <t>758 S 9th Street</t>
  </si>
  <si>
    <t>19147-2837</t>
  </si>
  <si>
    <t>Johanna-Kirchner-Str. 26</t>
  </si>
  <si>
    <t>76189 Karlsruhe</t>
  </si>
  <si>
    <t>Germany</t>
  </si>
  <si>
    <t>Mrs</t>
  </si>
  <si>
    <t>Lakewood</t>
  </si>
  <si>
    <t>893A Inverness Ct</t>
  </si>
  <si>
    <t>08701-7898</t>
  </si>
  <si>
    <t>Stafford</t>
  </si>
  <si>
    <t>Erika</t>
  </si>
  <si>
    <t>Overland Park</t>
  </si>
  <si>
    <t>Walton</t>
  </si>
  <si>
    <t>66204-1215</t>
  </si>
  <si>
    <t>9300 NE 60th Street</t>
  </si>
  <si>
    <t>67151-9013</t>
  </si>
  <si>
    <t>2369 Braddock Road</t>
  </si>
  <si>
    <t>Toms River</t>
  </si>
  <si>
    <t>08755-2503</t>
  </si>
  <si>
    <t>29 Vaughn Lane</t>
  </si>
  <si>
    <t>Newark</t>
  </si>
  <si>
    <t>DE</t>
  </si>
  <si>
    <t>19702-4315</t>
  </si>
  <si>
    <t>Effort</t>
  </si>
  <si>
    <t>18330-7746</t>
  </si>
  <si>
    <t>156 Squirrelwood CT</t>
  </si>
  <si>
    <t>1780 Vanderbeck Lane</t>
  </si>
  <si>
    <t>Woodburn</t>
  </si>
  <si>
    <t>97071-2739</t>
  </si>
  <si>
    <t>Alaparthi</t>
  </si>
  <si>
    <t>Sneha</t>
  </si>
  <si>
    <t>Dr.</t>
  </si>
  <si>
    <t>834 Chestnut St</t>
  </si>
  <si>
    <t>Apt 1020</t>
  </si>
  <si>
    <t>19107-5142</t>
  </si>
  <si>
    <t>Ian</t>
  </si>
  <si>
    <t>McGrath</t>
  </si>
  <si>
    <t>Sean</t>
  </si>
  <si>
    <t>McGinley</t>
  </si>
  <si>
    <t>Arachana</t>
  </si>
  <si>
    <t>Babu</t>
  </si>
  <si>
    <t>Subhadra</t>
  </si>
  <si>
    <t>Acharya</t>
  </si>
  <si>
    <t>Apt 3</t>
  </si>
  <si>
    <t>Gutman</t>
  </si>
  <si>
    <t>Apt 2510</t>
  </si>
  <si>
    <t>Chicago</t>
  </si>
  <si>
    <t>IL</t>
  </si>
  <si>
    <t>Isheta</t>
  </si>
  <si>
    <t>Madeka</t>
  </si>
  <si>
    <t>Abraham</t>
  </si>
  <si>
    <t>Hakim</t>
  </si>
  <si>
    <t>Hansinger</t>
  </si>
  <si>
    <t>Smith</t>
  </si>
  <si>
    <t>Nicole</t>
  </si>
  <si>
    <t>Ackerman</t>
  </si>
  <si>
    <t>Apt 319</t>
  </si>
  <si>
    <t>Syracuse</t>
  </si>
  <si>
    <t>Pavan</t>
  </si>
  <si>
    <t>Patel</t>
  </si>
  <si>
    <t>1 Richmond St</t>
  </si>
  <si>
    <t>Apt 2023</t>
  </si>
  <si>
    <t>New Brunswick</t>
  </si>
  <si>
    <t>Sage</t>
  </si>
  <si>
    <t>Vincent</t>
  </si>
  <si>
    <t>Unit 100</t>
  </si>
  <si>
    <t>Adam</t>
  </si>
  <si>
    <t>Fano</t>
  </si>
  <si>
    <t>Apt 909</t>
  </si>
  <si>
    <t>Shannon</t>
  </si>
  <si>
    <t>19103-4318</t>
  </si>
  <si>
    <t>19146-1634</t>
  </si>
  <si>
    <t>19106-1903</t>
  </si>
  <si>
    <t>19107-6777</t>
  </si>
  <si>
    <t>60611-4417</t>
  </si>
  <si>
    <t>19107-4272</t>
  </si>
  <si>
    <t>19106-4032</t>
  </si>
  <si>
    <t>19146-1835</t>
  </si>
  <si>
    <t>19147-1984</t>
  </si>
  <si>
    <t>19107-4263</t>
  </si>
  <si>
    <t>13202-2459</t>
  </si>
  <si>
    <t>08901-4107</t>
  </si>
  <si>
    <t>2400 Chestnut St</t>
  </si>
  <si>
    <t>Apt 1405</t>
  </si>
  <si>
    <t>1535 Bainbridge St</t>
  </si>
  <si>
    <t/>
  </si>
  <si>
    <t>119 N 3Rd St</t>
  </si>
  <si>
    <t>260 S 10Th St</t>
  </si>
  <si>
    <t>401 E Ontario St</t>
  </si>
  <si>
    <t>1101 Ludlow St</t>
  </si>
  <si>
    <t>Apt 1418</t>
  </si>
  <si>
    <t>734 Pine St</t>
  </si>
  <si>
    <t>Apt 3F</t>
  </si>
  <si>
    <t>1832 Catharine St</t>
  </si>
  <si>
    <t>401 S Salina St</t>
  </si>
  <si>
    <t>716 S 11Th St</t>
  </si>
  <si>
    <t>8506 W 69Th St</t>
  </si>
  <si>
    <t>And Patricia Wolniewicz</t>
  </si>
  <si>
    <t>And Jacob Haimson</t>
  </si>
  <si>
    <t>And Casey O‚Äôhara</t>
  </si>
  <si>
    <t>And Jenna Vreeland</t>
  </si>
  <si>
    <t>From Who</t>
  </si>
  <si>
    <t>and Kristina Claffey</t>
  </si>
  <si>
    <t>Claffey</t>
  </si>
  <si>
    <t>4549 Riverside Way</t>
  </si>
  <si>
    <t>19127-1568</t>
  </si>
  <si>
    <t>Apt 361</t>
  </si>
  <si>
    <t>1467 State Highway 165</t>
  </si>
  <si>
    <t>13320-3331</t>
  </si>
  <si>
    <t>600 Bilyeu Street</t>
  </si>
  <si>
    <t>Apt 252</t>
  </si>
  <si>
    <t>27606-5653</t>
  </si>
  <si>
    <t>Marigrace</t>
  </si>
  <si>
    <t>2141 Baileys Corner Rd</t>
  </si>
  <si>
    <t>07719-9536</t>
  </si>
  <si>
    <t>PO Box 723</t>
  </si>
  <si>
    <t>Chestertown</t>
  </si>
  <si>
    <t>12817-0723</t>
  </si>
  <si>
    <t>Mary</t>
  </si>
  <si>
    <t xml:space="preserve">Mr. </t>
  </si>
  <si>
    <t>Corey</t>
  </si>
  <si>
    <t>Craver</t>
  </si>
  <si>
    <t>Lina</t>
  </si>
  <si>
    <t>Lauren</t>
  </si>
  <si>
    <t>Farley</t>
  </si>
  <si>
    <t>Diana</t>
  </si>
  <si>
    <t>Sheldon Sr.</t>
  </si>
  <si>
    <t>Sheldon Jr.</t>
  </si>
  <si>
    <t>2323 Race Street</t>
  </si>
  <si>
    <t>Unit 1119</t>
  </si>
  <si>
    <t>Jeffery</t>
  </si>
  <si>
    <t>Hennstenburg</t>
  </si>
  <si>
    <t>97A Appleton Street</t>
  </si>
  <si>
    <t>Boston</t>
  </si>
  <si>
    <t>and Patricia</t>
  </si>
  <si>
    <t>1535 Bainbridge Street</t>
  </si>
  <si>
    <t>19103-1090</t>
  </si>
  <si>
    <t>02116-6109</t>
  </si>
  <si>
    <t>125 Sawkill Avenue</t>
  </si>
  <si>
    <t>Milford</t>
  </si>
  <si>
    <t>Apt H</t>
  </si>
  <si>
    <t>18337-1115</t>
  </si>
  <si>
    <t>Marianelli</t>
  </si>
  <si>
    <t>and Ms. Grace Emmet Smith</t>
  </si>
  <si>
    <t>Patrick</t>
  </si>
  <si>
    <t>Professional Physical Therapy</t>
  </si>
  <si>
    <t>105 Elm Street</t>
  </si>
  <si>
    <t>Westfield</t>
  </si>
  <si>
    <t>07090-3143</t>
  </si>
  <si>
    <t>Skipprint</t>
  </si>
  <si>
    <t>Yes</t>
  </si>
  <si>
    <t>Apt 708</t>
  </si>
  <si>
    <t>DC</t>
  </si>
  <si>
    <t>912 F ST NW</t>
  </si>
  <si>
    <t>20004-1449</t>
  </si>
  <si>
    <t>Washington</t>
  </si>
  <si>
    <t>Allison</t>
  </si>
  <si>
    <t>Scott</t>
  </si>
  <si>
    <t>Family</t>
  </si>
  <si>
    <t>1124 Summit Lane</t>
  </si>
  <si>
    <t>Mountainside</t>
  </si>
  <si>
    <t>07092-1500</t>
  </si>
  <si>
    <t>1330 Randolph Road</t>
  </si>
  <si>
    <t>Apt 610</t>
  </si>
  <si>
    <t>Plainfield</t>
  </si>
  <si>
    <t>Drs. Patrick and Alyssa</t>
  </si>
  <si>
    <t>07060-3367</t>
  </si>
  <si>
    <t>8221 Quivira Road</t>
  </si>
  <si>
    <t>Apt 4108</t>
  </si>
  <si>
    <t>Lenexa</t>
  </si>
  <si>
    <t>66215-2762</t>
  </si>
  <si>
    <t>495 Madison Hill Road</t>
  </si>
  <si>
    <t>Cory</t>
  </si>
  <si>
    <t>9300 NE 60th street</t>
  </si>
  <si>
    <t>Lena</t>
  </si>
  <si>
    <t>Schwarzenau</t>
  </si>
  <si>
    <t>690 Pennsylvania Avenue</t>
  </si>
  <si>
    <t>Apt 213</t>
  </si>
  <si>
    <t>San Francisco</t>
  </si>
  <si>
    <t>94107-2963</t>
  </si>
  <si>
    <t>26 Cross Road</t>
  </si>
  <si>
    <t>07950-3246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</si>
</sst>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Yes&quot;;&quot;Yes&quot;;&quot;No&quot;"/>
    <numFmt numFmtId="165" formatCode="00000\-0000"/>
  </numFmts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20202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right"/>
    </xf>
    <xf numFmtId="164" fontId="2" fillId="0" borderId="0" xfId="0" applyNumberFormat="1" applyFont="1" applyAlignment="1">
      <alignment horizontal="right" wrapText="1"/>
    </xf>
    <xf numFmtId="0" fontId="3" fillId="0" borderId="0" xfId="0" applyFont="1"/>
    <xf numFmtId="49" fontId="3" fillId="0" borderId="0" xfId="0" applyNumberFormat="1" applyFont="1"/>
    <xf numFmtId="49" fontId="2" fillId="0" borderId="0" xfId="0" applyNumberFormat="1" applyFont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left"/>
    </xf>
    <xf numFmtId="49" fontId="4" fillId="0" borderId="0" xfId="0" applyNumberFormat="1" applyFont="1"/>
    <xf numFmtId="49" fontId="0" fillId="0" borderId="0" xfId="0" applyNumberFormat="1"/>
    <xf numFmtId="165" fontId="2" fillId="0" borderId="0" xfId="0" applyNumberFormat="1" applyFont="1"/>
    <xf numFmtId="165" fontId="3" fillId="0" borderId="0" xfId="0" applyNumberFormat="1" applyFont="1"/>
    <xf numFmtId="0" fontId="5" fillId="0" borderId="0" xfId="0" applyFont="1"/>
    <xf numFmtId="164" fontId="5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ddresses" connectionId="1" xr16:uid="{71D9C237-6C49-BA42-A00D-8ADC7CA07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5"/>
  <sheetViews>
    <sheetView tabSelected="1" zoomScale="150" zoomScaleNormal="150" workbookViewId="0">
      <pane ySplit="1" topLeftCell="A95" activePane="bottomLeft" state="frozen"/>
      <selection pane="bottomLeft" sqref="A1:A1048576"/>
    </sheetView>
  </sheetViews>
  <sheetFormatPr baseColWidth="10" defaultColWidth="8.83203125" defaultRowHeight="13" x14ac:dyDescent="0.15"/>
  <cols>
    <col min="1" max="1" width="10.6640625" customWidth="1"/>
    <col min="2" max="2" width="9.5" bestFit="1" customWidth="1"/>
    <col min="3" max="3" width="19" bestFit="1" customWidth="1"/>
    <col min="4" max="4" width="26.83203125" bestFit="1" customWidth="1"/>
    <col min="5" max="5" width="19.5" bestFit="1" customWidth="1"/>
    <col min="6" max="6" width="19" hidden="1" customWidth="1"/>
    <col min="7" max="7" width="18.5" style="2" hidden="1" customWidth="1"/>
    <col min="8" max="8" width="14.5" bestFit="1" customWidth="1"/>
    <col min="9" max="9" width="24" bestFit="1" customWidth="1"/>
    <col min="10" max="10" width="22.83203125" bestFit="1" customWidth="1"/>
    <col min="11" max="11" width="14.1640625" bestFit="1" customWidth="1"/>
    <col min="12" max="12" width="8.1640625" bestFit="1" customWidth="1"/>
    <col min="13" max="13" width="10.6640625" style="14" bestFit="1" customWidth="1"/>
    <col min="14" max="14" width="38.1640625" bestFit="1" customWidth="1"/>
    <col min="15" max="15" width="28.1640625" bestFit="1" customWidth="1"/>
    <col min="19" max="19" width="13.33203125" customWidth="1"/>
  </cols>
  <sheetData>
    <row r="1" spans="1:16" s="1" customFormat="1" ht="28" x14ac:dyDescent="0.15">
      <c r="A1" s="1" t="s">
        <v>543</v>
      </c>
      <c r="B1" s="1" t="s">
        <v>495</v>
      </c>
      <c r="C1" s="1" t="s">
        <v>0</v>
      </c>
      <c r="D1" s="1" t="s">
        <v>1</v>
      </c>
      <c r="E1" s="1" t="s">
        <v>2</v>
      </c>
      <c r="F1" s="1" t="s">
        <v>297</v>
      </c>
      <c r="G1" s="3" t="s">
        <v>138</v>
      </c>
      <c r="H1" s="1" t="s">
        <v>3</v>
      </c>
      <c r="I1" s="1" t="s">
        <v>172</v>
      </c>
      <c r="J1" s="1" t="s">
        <v>173</v>
      </c>
      <c r="K1" s="6" t="s">
        <v>171</v>
      </c>
      <c r="L1" s="6" t="s">
        <v>114</v>
      </c>
      <c r="M1" s="13" t="s">
        <v>176</v>
      </c>
      <c r="N1" s="1" t="s">
        <v>239</v>
      </c>
      <c r="O1" s="1" t="s">
        <v>174</v>
      </c>
    </row>
    <row r="2" spans="1:16" x14ac:dyDescent="0.15">
      <c r="B2" s="4" t="s">
        <v>375</v>
      </c>
      <c r="C2" t="s">
        <v>425</v>
      </c>
      <c r="D2" t="s">
        <v>435</v>
      </c>
      <c r="E2" t="s">
        <v>479</v>
      </c>
      <c r="H2" t="s">
        <v>436</v>
      </c>
      <c r="I2" s="4" t="s">
        <v>481</v>
      </c>
      <c r="J2" s="4" t="s">
        <v>437</v>
      </c>
      <c r="K2" t="s">
        <v>376</v>
      </c>
      <c r="L2" t="s">
        <v>184</v>
      </c>
      <c r="M2" s="4" t="s">
        <v>467</v>
      </c>
      <c r="N2" s="4" t="str">
        <f>TRIM(CONCATENATE(C2," ",D2," ",H2))</f>
        <v>Dr. Subhadra Acharya</v>
      </c>
      <c r="O2" t="str">
        <f t="shared" ref="O2:O65" si="0">CONCATENATE(K2,", ",L2,"  ",M2)</f>
        <v>Philadelphia, PA  19107-6777</v>
      </c>
      <c r="P2" t="str">
        <f>N2&amp;CHAR(10)&amp;I2&amp;", "&amp;J2&amp;CHAR(10)&amp;O2&amp;CHAR(10)&amp;"------"</f>
        <v>Dr. Subhadra Acharya
260 S 10Th St, Apt 3
Philadelphia, PA  19107-6777
------</v>
      </c>
    </row>
    <row r="3" spans="1:16" x14ac:dyDescent="0.15">
      <c r="B3" s="4" t="s">
        <v>375</v>
      </c>
      <c r="C3" t="s">
        <v>425</v>
      </c>
      <c r="D3" t="s">
        <v>448</v>
      </c>
      <c r="E3" t="s">
        <v>479</v>
      </c>
      <c r="H3" t="s">
        <v>449</v>
      </c>
      <c r="I3" s="4" t="s">
        <v>488</v>
      </c>
      <c r="J3" s="4" t="s">
        <v>450</v>
      </c>
      <c r="K3" t="s">
        <v>451</v>
      </c>
      <c r="L3" t="s">
        <v>178</v>
      </c>
      <c r="M3" s="4" t="s">
        <v>474</v>
      </c>
      <c r="N3" s="4" t="str">
        <f>TRIM(CONCATENATE(C3," ",D3," ",H3))</f>
        <v>Dr. Nicole Ackerman</v>
      </c>
      <c r="O3" t="str">
        <f t="shared" si="0"/>
        <v>Syracuse, NY  13202-2459</v>
      </c>
      <c r="P3" t="str">
        <f t="shared" ref="P3:P64" si="1">N3&amp;CHAR(10)&amp;I3&amp;", "&amp;J3&amp;CHAR(10)&amp;O3&amp;CHAR(10)&amp;"------"</f>
        <v>Dr. Nicole Ackerman
401 S Salina St, Apt 319
Syracuse, NY  13202-2459
------</v>
      </c>
    </row>
    <row r="4" spans="1:16" x14ac:dyDescent="0.15">
      <c r="B4" s="4" t="s">
        <v>375</v>
      </c>
      <c r="C4" s="4" t="s">
        <v>425</v>
      </c>
      <c r="D4" t="s">
        <v>424</v>
      </c>
      <c r="H4" s="4" t="s">
        <v>423</v>
      </c>
      <c r="I4" s="4" t="s">
        <v>426</v>
      </c>
      <c r="J4" s="4" t="s">
        <v>427</v>
      </c>
      <c r="K4" t="s">
        <v>376</v>
      </c>
      <c r="L4" s="12" t="s">
        <v>184</v>
      </c>
      <c r="M4" s="4" t="s">
        <v>428</v>
      </c>
      <c r="N4" s="4" t="str">
        <f>TRIM(CONCATENATE(C4," ",D4," ",H4))</f>
        <v>Dr. Sneha Alaparthi</v>
      </c>
      <c r="O4" t="str">
        <f t="shared" si="0"/>
        <v>Philadelphia, PA  19107-5142</v>
      </c>
      <c r="P4" t="str">
        <f t="shared" si="1"/>
        <v>Dr. Sneha Alaparthi
834 Chestnut St, Apt 1020
Philadelphia, PA  19107-5142
------</v>
      </c>
    </row>
    <row r="5" spans="1:16" x14ac:dyDescent="0.15">
      <c r="A5" s="4"/>
      <c r="B5" s="4" t="s">
        <v>552</v>
      </c>
      <c r="C5" s="4" t="s">
        <v>4</v>
      </c>
      <c r="D5" s="4" t="s">
        <v>5</v>
      </c>
      <c r="E5" s="4" t="s">
        <v>6</v>
      </c>
      <c r="F5" s="4"/>
      <c r="G5" s="8"/>
      <c r="H5" s="4" t="s">
        <v>7</v>
      </c>
      <c r="I5" s="4" t="s">
        <v>377</v>
      </c>
      <c r="J5" s="4"/>
      <c r="K5" s="11" t="s">
        <v>137</v>
      </c>
      <c r="L5" s="5" t="s">
        <v>177</v>
      </c>
      <c r="M5" s="14" t="s">
        <v>378</v>
      </c>
      <c r="N5" s="4" t="str">
        <f>TRIM(CONCATENATE(C5," ",D5," ",H5))</f>
        <v>Mr. and Mrs. William Andrew</v>
      </c>
      <c r="O5" t="str">
        <f t="shared" si="0"/>
        <v>Tulsa, OK  74120-7008</v>
      </c>
      <c r="P5" t="str">
        <f t="shared" si="1"/>
        <v>Mr. and Mrs. William Andrew
1701 South Quincy Avenue, 
Tulsa, OK  74120-7008
------</v>
      </c>
    </row>
    <row r="6" spans="1:16" x14ac:dyDescent="0.15">
      <c r="B6" s="4" t="s">
        <v>375</v>
      </c>
      <c r="C6" t="s">
        <v>425</v>
      </c>
      <c r="D6" t="s">
        <v>433</v>
      </c>
      <c r="E6" t="s">
        <v>479</v>
      </c>
      <c r="H6" t="s">
        <v>434</v>
      </c>
      <c r="I6" s="4" t="s">
        <v>480</v>
      </c>
      <c r="J6" t="s">
        <v>479</v>
      </c>
      <c r="K6" t="s">
        <v>376</v>
      </c>
      <c r="L6" t="s">
        <v>184</v>
      </c>
      <c r="M6" s="4" t="s">
        <v>466</v>
      </c>
      <c r="N6" s="4" t="str">
        <f>TRIM(CONCATENATE(C6," ",D6," ",H6," ",E6))</f>
        <v>Dr. Arachana Babu</v>
      </c>
      <c r="O6" t="str">
        <f t="shared" si="0"/>
        <v>Philadelphia, PA  19106-1903</v>
      </c>
      <c r="P6" t="str">
        <f t="shared" si="1"/>
        <v>Dr. Arachana Babu
119 N 3Rd St, 
Philadelphia, PA  19106-1903
------</v>
      </c>
    </row>
    <row r="7" spans="1:16" x14ac:dyDescent="0.15">
      <c r="A7" s="4"/>
      <c r="B7" s="4" t="s">
        <v>552</v>
      </c>
      <c r="C7" s="4" t="s">
        <v>4</v>
      </c>
      <c r="D7" s="4" t="s">
        <v>8</v>
      </c>
      <c r="E7" s="4" t="s">
        <v>9</v>
      </c>
      <c r="F7" s="4"/>
      <c r="G7" s="8">
        <v>2014</v>
      </c>
      <c r="H7" s="4" t="s">
        <v>10</v>
      </c>
      <c r="I7" s="4" t="s">
        <v>501</v>
      </c>
      <c r="J7" s="4"/>
      <c r="K7" s="11" t="s">
        <v>116</v>
      </c>
      <c r="L7" s="5" t="s">
        <v>178</v>
      </c>
      <c r="M7" s="4" t="s">
        <v>502</v>
      </c>
      <c r="N7" s="4" t="str">
        <f t="shared" ref="N7:N26" si="2">TRIM(CONCATENATE(C7," ",D7," ",H7))</f>
        <v>Mr. and Mrs. Jim Bauer</v>
      </c>
      <c r="O7" t="str">
        <f t="shared" si="0"/>
        <v>Cherry Valley, NY  13320-3331</v>
      </c>
      <c r="P7" t="str">
        <f t="shared" si="1"/>
        <v>Mr. and Mrs. Jim Bauer
1467 State Highway 165, 
Cherry Valley, NY  13320-3331
------</v>
      </c>
    </row>
    <row r="8" spans="1:16" x14ac:dyDescent="0.15">
      <c r="A8" s="4"/>
      <c r="B8" s="4" t="s">
        <v>552</v>
      </c>
      <c r="C8" s="4" t="s">
        <v>4</v>
      </c>
      <c r="D8" s="4" t="s">
        <v>11</v>
      </c>
      <c r="E8" s="4"/>
      <c r="F8" s="4"/>
      <c r="G8" s="8">
        <v>2019</v>
      </c>
      <c r="H8" s="4" t="s">
        <v>12</v>
      </c>
      <c r="I8" s="4" t="s">
        <v>13</v>
      </c>
      <c r="J8" s="4"/>
      <c r="K8" s="11" t="s">
        <v>117</v>
      </c>
      <c r="L8" s="5" t="s">
        <v>179</v>
      </c>
      <c r="M8" s="14" t="s">
        <v>180</v>
      </c>
      <c r="N8" s="4" t="str">
        <f t="shared" si="2"/>
        <v>Mr. and Mrs. Chris Bollwage</v>
      </c>
      <c r="O8" t="str">
        <f t="shared" si="0"/>
        <v>Elizabeth, NJ  07208-1005</v>
      </c>
      <c r="P8" t="str">
        <f t="shared" si="1"/>
        <v>Mr. and Mrs. Chris Bollwage
1113 Coolidge Rd, 
Elizabeth, NJ  07208-1005
------</v>
      </c>
    </row>
    <row r="9" spans="1:16" x14ac:dyDescent="0.15">
      <c r="A9" s="4"/>
      <c r="B9" s="4" t="s">
        <v>552</v>
      </c>
      <c r="C9" s="4" t="s">
        <v>35</v>
      </c>
      <c r="D9" s="4" t="s">
        <v>272</v>
      </c>
      <c r="E9" s="4"/>
      <c r="F9" s="4"/>
      <c r="G9" s="7"/>
      <c r="H9" s="4" t="s">
        <v>271</v>
      </c>
      <c r="I9" s="4" t="s">
        <v>273</v>
      </c>
      <c r="J9" s="4"/>
      <c r="K9" s="11" t="s">
        <v>119</v>
      </c>
      <c r="L9" s="5" t="s">
        <v>179</v>
      </c>
      <c r="M9" s="14" t="s">
        <v>274</v>
      </c>
      <c r="N9" s="4" t="str">
        <f t="shared" si="2"/>
        <v>Mr. Andy Godek and Ms. Coleen Boyle</v>
      </c>
      <c r="O9" t="str">
        <f t="shared" si="0"/>
        <v>Clark, NJ  07066-1516</v>
      </c>
      <c r="P9" t="str">
        <f t="shared" si="1"/>
        <v>Mr. Andy Godek and Ms. Coleen Boyle
29 Gibson Blvd, 
Clark, NJ  07066-1516
------</v>
      </c>
    </row>
    <row r="10" spans="1:16" x14ac:dyDescent="0.15">
      <c r="A10" s="4"/>
      <c r="B10" s="4" t="s">
        <v>552</v>
      </c>
      <c r="C10" s="4" t="s">
        <v>4</v>
      </c>
      <c r="D10" s="4" t="s">
        <v>5</v>
      </c>
      <c r="E10" s="4"/>
      <c r="F10" s="4"/>
      <c r="G10" s="8"/>
      <c r="H10" s="4" t="s">
        <v>14</v>
      </c>
      <c r="I10" s="4" t="s">
        <v>15</v>
      </c>
      <c r="J10" s="4"/>
      <c r="K10" s="11" t="s">
        <v>118</v>
      </c>
      <c r="L10" s="5" t="s">
        <v>179</v>
      </c>
      <c r="M10" s="14" t="s">
        <v>181</v>
      </c>
      <c r="N10" s="4" t="str">
        <f t="shared" si="2"/>
        <v>Mr. and Mrs. William Bradley</v>
      </c>
      <c r="O10" t="str">
        <f t="shared" si="0"/>
        <v>New Providence, NJ  07974-1306</v>
      </c>
      <c r="P10" t="str">
        <f t="shared" si="1"/>
        <v>Mr. and Mrs. William Bradley
443 Charnwood Rd, 
New Providence, NJ  07974-1306
------</v>
      </c>
    </row>
    <row r="11" spans="1:16" x14ac:dyDescent="0.15">
      <c r="A11" s="4"/>
      <c r="B11" s="4" t="s">
        <v>552</v>
      </c>
      <c r="C11" s="4" t="s">
        <v>4</v>
      </c>
      <c r="D11" s="4" t="s">
        <v>16</v>
      </c>
      <c r="E11" s="4" t="s">
        <v>17</v>
      </c>
      <c r="F11" s="4"/>
      <c r="G11" s="8">
        <v>2019</v>
      </c>
      <c r="H11" s="4" t="s">
        <v>18</v>
      </c>
      <c r="I11" s="4" t="s">
        <v>19</v>
      </c>
      <c r="J11" s="4"/>
      <c r="K11" s="11" t="s">
        <v>119</v>
      </c>
      <c r="L11" s="5" t="s">
        <v>179</v>
      </c>
      <c r="M11" s="14" t="s">
        <v>182</v>
      </c>
      <c r="N11" s="4" t="str">
        <f t="shared" si="2"/>
        <v>Mr. and Mrs. Kevin Brady</v>
      </c>
      <c r="O11" t="str">
        <f t="shared" si="0"/>
        <v>Clark, NJ  07066-2915</v>
      </c>
      <c r="P11" t="str">
        <f t="shared" si="1"/>
        <v>Mr. and Mrs. Kevin Brady
11 Ridge Rd, 
Clark, NJ  07066-2915
------</v>
      </c>
    </row>
    <row r="12" spans="1:16" x14ac:dyDescent="0.15">
      <c r="A12" s="4"/>
      <c r="B12" s="4" t="s">
        <v>552</v>
      </c>
      <c r="C12" s="4" t="s">
        <v>4</v>
      </c>
      <c r="D12" s="4" t="s">
        <v>245</v>
      </c>
      <c r="E12" s="4" t="s">
        <v>246</v>
      </c>
      <c r="F12" s="4"/>
      <c r="G12" s="7"/>
      <c r="H12" s="4" t="s">
        <v>22</v>
      </c>
      <c r="I12" s="4" t="s">
        <v>281</v>
      </c>
      <c r="J12" s="4"/>
      <c r="K12" s="11" t="s">
        <v>282</v>
      </c>
      <c r="L12" s="5" t="s">
        <v>179</v>
      </c>
      <c r="M12" s="14" t="s">
        <v>283</v>
      </c>
      <c r="N12" s="4" t="str">
        <f t="shared" si="2"/>
        <v>Mr. and Mrs. Matthew Butterly</v>
      </c>
      <c r="O12" t="str">
        <f t="shared" si="0"/>
        <v>Warren, NJ  07059-5748</v>
      </c>
      <c r="P12" t="str">
        <f t="shared" si="1"/>
        <v>Mr. and Mrs. Matthew Butterly
41 Roseland Avenue, 
Warren, NJ  07059-5748
------</v>
      </c>
    </row>
    <row r="13" spans="1:16" x14ac:dyDescent="0.15">
      <c r="A13" s="4"/>
      <c r="B13" s="4" t="s">
        <v>552</v>
      </c>
      <c r="C13" s="4" t="s">
        <v>4</v>
      </c>
      <c r="D13" s="4" t="s">
        <v>20</v>
      </c>
      <c r="E13" s="4" t="s">
        <v>21</v>
      </c>
      <c r="F13" s="4"/>
      <c r="G13" s="8">
        <v>2011</v>
      </c>
      <c r="H13" s="4" t="s">
        <v>22</v>
      </c>
      <c r="I13" s="4" t="s">
        <v>23</v>
      </c>
      <c r="J13" s="4"/>
      <c r="K13" s="11" t="s">
        <v>119</v>
      </c>
      <c r="L13" s="5" t="s">
        <v>179</v>
      </c>
      <c r="M13" s="14" t="s">
        <v>183</v>
      </c>
      <c r="N13" s="4" t="str">
        <f t="shared" si="2"/>
        <v>Mr. and Mrs. Paul Butterly</v>
      </c>
      <c r="O13" t="str">
        <f t="shared" si="0"/>
        <v>Clark, NJ  07066-2904</v>
      </c>
      <c r="P13" t="str">
        <f t="shared" si="1"/>
        <v>Mr. and Mrs. Paul Butterly
135 Fairview Rd, 
Clark, NJ  07066-2904
------</v>
      </c>
    </row>
    <row r="14" spans="1:16" x14ac:dyDescent="0.15">
      <c r="A14" s="4"/>
      <c r="B14" s="4" t="s">
        <v>552</v>
      </c>
      <c r="C14" s="4" t="s">
        <v>24</v>
      </c>
      <c r="D14" s="4" t="s">
        <v>25</v>
      </c>
      <c r="E14" s="4"/>
      <c r="F14" s="4"/>
      <c r="G14" s="8">
        <v>2014</v>
      </c>
      <c r="H14" s="4" t="s">
        <v>26</v>
      </c>
      <c r="I14" s="4" t="s">
        <v>256</v>
      </c>
      <c r="J14" s="4"/>
      <c r="K14" s="4" t="s">
        <v>122</v>
      </c>
      <c r="L14" s="5" t="s">
        <v>179</v>
      </c>
      <c r="M14" s="14" t="s">
        <v>257</v>
      </c>
      <c r="N14" s="4" t="str">
        <f t="shared" si="2"/>
        <v>Ms. Gail Camuso</v>
      </c>
      <c r="O14" t="str">
        <f t="shared" si="0"/>
        <v>Scotch Plains, NJ  07076-1352</v>
      </c>
      <c r="P14" t="str">
        <f t="shared" si="1"/>
        <v>Ms. Gail Camuso
233 Westfield Rd, 
Scotch Plains, NJ  07076-1352
------</v>
      </c>
    </row>
    <row r="15" spans="1:16" x14ac:dyDescent="0.15">
      <c r="B15" s="4" t="s">
        <v>552</v>
      </c>
      <c r="C15" s="4" t="s">
        <v>240</v>
      </c>
      <c r="D15" s="4" t="s">
        <v>76</v>
      </c>
      <c r="H15" s="4" t="s">
        <v>356</v>
      </c>
      <c r="I15" s="4" t="s">
        <v>357</v>
      </c>
      <c r="K15" s="4" t="s">
        <v>358</v>
      </c>
      <c r="L15" s="12" t="s">
        <v>354</v>
      </c>
      <c r="M15" s="14" t="s">
        <v>355</v>
      </c>
      <c r="N15" s="4" t="str">
        <f t="shared" si="2"/>
        <v>Mrs. Patricia Castaldi and Son</v>
      </c>
      <c r="O15" t="str">
        <f t="shared" si="0"/>
        <v>Winter Garden, FL  34787-0032</v>
      </c>
      <c r="P15" t="str">
        <f t="shared" si="1"/>
        <v>Mrs. Patricia Castaldi and Son
7136 Enchanted Lake Drive, 
Winter Garden, FL  34787-0032
------</v>
      </c>
    </row>
    <row r="16" spans="1:16" x14ac:dyDescent="0.15">
      <c r="A16" s="4"/>
      <c r="B16" s="4" t="s">
        <v>552</v>
      </c>
      <c r="C16" s="4" t="s">
        <v>4</v>
      </c>
      <c r="D16" s="4" t="s">
        <v>27</v>
      </c>
      <c r="E16" s="4"/>
      <c r="F16" s="4" t="s">
        <v>298</v>
      </c>
      <c r="G16" s="8"/>
      <c r="H16" s="4" t="s">
        <v>28</v>
      </c>
      <c r="I16" s="4" t="s">
        <v>212</v>
      </c>
      <c r="J16" s="4"/>
      <c r="K16" s="11" t="s">
        <v>131</v>
      </c>
      <c r="L16" s="5" t="s">
        <v>184</v>
      </c>
      <c r="M16" s="14" t="s">
        <v>29</v>
      </c>
      <c r="N16" s="4" t="str">
        <f t="shared" si="2"/>
        <v>Mr. and Mrs. John Chorazak</v>
      </c>
      <c r="O16" t="str">
        <f t="shared" si="0"/>
        <v>Easton, PA  18042-8753</v>
      </c>
      <c r="P16" t="str">
        <f t="shared" si="1"/>
        <v>Mr. and Mrs. John Chorazak
55 Connard Dr, 
Easton, PA  18042-8753
------</v>
      </c>
    </row>
    <row r="17" spans="1:19" x14ac:dyDescent="0.15">
      <c r="B17" s="4" t="s">
        <v>552</v>
      </c>
      <c r="C17" s="4" t="s">
        <v>4</v>
      </c>
      <c r="D17" s="4" t="s">
        <v>11</v>
      </c>
      <c r="E17" s="4" t="s">
        <v>496</v>
      </c>
      <c r="H17" s="4" t="s">
        <v>497</v>
      </c>
      <c r="I17" s="4" t="s">
        <v>498</v>
      </c>
      <c r="K17" s="4" t="s">
        <v>376</v>
      </c>
      <c r="L17" s="4" t="s">
        <v>184</v>
      </c>
      <c r="M17" s="4" t="s">
        <v>499</v>
      </c>
      <c r="N17" s="4" t="str">
        <f t="shared" si="2"/>
        <v>Mr. and Mrs. Chris Claffey</v>
      </c>
      <c r="O17" t="str">
        <f t="shared" si="0"/>
        <v>Philadelphia, PA  19127-1568</v>
      </c>
      <c r="P17" t="str">
        <f t="shared" si="1"/>
        <v>Mr. and Mrs. Chris Claffey
4549 Riverside Way, 
Philadelphia, PA  19127-1568
------</v>
      </c>
    </row>
    <row r="18" spans="1:19" x14ac:dyDescent="0.15">
      <c r="B18" s="4" t="s">
        <v>552</v>
      </c>
      <c r="C18" s="4" t="s">
        <v>240</v>
      </c>
      <c r="D18" s="4" t="s">
        <v>351</v>
      </c>
      <c r="H18" s="4" t="s">
        <v>350</v>
      </c>
      <c r="I18" s="4" t="s">
        <v>352</v>
      </c>
      <c r="K18" s="11" t="s">
        <v>119</v>
      </c>
      <c r="L18" s="12" t="s">
        <v>179</v>
      </c>
      <c r="M18" s="14" t="s">
        <v>353</v>
      </c>
      <c r="N18" s="4" t="str">
        <f>TRIM(CONCATENATE(C18," ",D18," ",H18))</f>
        <v>Mrs. Vicki Cook</v>
      </c>
      <c r="O18" t="str">
        <f t="shared" si="0"/>
        <v>Clark, NJ  07066-2203</v>
      </c>
      <c r="P18" t="str">
        <f t="shared" si="1"/>
        <v>Mrs. Vicki Cook
505 Raritan Road, 
Clark, NJ  07066-2203
------</v>
      </c>
    </row>
    <row r="19" spans="1:19" x14ac:dyDescent="0.15">
      <c r="A19" s="4"/>
      <c r="B19" s="4" t="s">
        <v>552</v>
      </c>
      <c r="C19" s="4" t="s">
        <v>4</v>
      </c>
      <c r="D19" s="4" t="s">
        <v>287</v>
      </c>
      <c r="E19" s="4" t="s">
        <v>288</v>
      </c>
      <c r="F19" s="4"/>
      <c r="G19" s="7">
        <v>2019</v>
      </c>
      <c r="H19" s="4" t="s">
        <v>289</v>
      </c>
      <c r="I19" s="4" t="s">
        <v>290</v>
      </c>
      <c r="J19" s="4"/>
      <c r="K19" s="11" t="s">
        <v>119</v>
      </c>
      <c r="L19" s="5" t="s">
        <v>179</v>
      </c>
      <c r="M19" s="14" t="s">
        <v>182</v>
      </c>
      <c r="N19" s="4" t="str">
        <f t="shared" si="2"/>
        <v>Mr. and Mrs. Luis Couto</v>
      </c>
      <c r="O19" t="str">
        <f t="shared" si="0"/>
        <v>Clark, NJ  07066-2915</v>
      </c>
      <c r="P19" t="str">
        <f t="shared" si="1"/>
        <v>Mr. and Mrs. Luis Couto
23 Ridge Road, 
Clark, NJ  07066-2915
------</v>
      </c>
    </row>
    <row r="20" spans="1:19" x14ac:dyDescent="0.15">
      <c r="A20" s="4"/>
      <c r="B20" s="4" t="s">
        <v>552</v>
      </c>
      <c r="C20" s="4" t="s">
        <v>24</v>
      </c>
      <c r="D20" s="4" t="s">
        <v>30</v>
      </c>
      <c r="E20" s="4"/>
      <c r="F20" s="4"/>
      <c r="G20" s="8"/>
      <c r="H20" s="4" t="s">
        <v>31</v>
      </c>
      <c r="I20" s="4" t="s">
        <v>420</v>
      </c>
      <c r="J20" s="4"/>
      <c r="K20" s="11" t="s">
        <v>421</v>
      </c>
      <c r="L20" s="5" t="s">
        <v>185</v>
      </c>
      <c r="M20" s="14" t="s">
        <v>422</v>
      </c>
      <c r="N20" s="4" t="str">
        <f t="shared" si="2"/>
        <v>Ms. Gwen Dickson</v>
      </c>
      <c r="O20" t="str">
        <f t="shared" si="0"/>
        <v>Woodburn, OR  97071-2739</v>
      </c>
      <c r="P20" t="str">
        <f t="shared" si="1"/>
        <v>Ms. Gwen Dickson
1780 Vanderbeck Lane, 
Woodburn, OR  97071-2739
------</v>
      </c>
    </row>
    <row r="21" spans="1:19" x14ac:dyDescent="0.15">
      <c r="A21" s="4"/>
      <c r="B21" s="4" t="s">
        <v>552</v>
      </c>
      <c r="C21" s="4" t="s">
        <v>4</v>
      </c>
      <c r="D21" s="4" t="s">
        <v>328</v>
      </c>
      <c r="E21" s="4" t="s">
        <v>329</v>
      </c>
      <c r="F21" s="4"/>
      <c r="G21" s="8"/>
      <c r="H21" s="4" t="s">
        <v>330</v>
      </c>
      <c r="I21" s="4" t="s">
        <v>331</v>
      </c>
      <c r="J21" s="4"/>
      <c r="K21" s="11" t="s">
        <v>332</v>
      </c>
      <c r="L21" s="5" t="s">
        <v>203</v>
      </c>
      <c r="M21" s="14" t="s">
        <v>333</v>
      </c>
      <c r="N21" s="4" t="str">
        <f t="shared" si="2"/>
        <v>Mr. and Mrs. Max Dietz</v>
      </c>
      <c r="O21" t="str">
        <f t="shared" si="0"/>
        <v>San Jose, CA  95120-2314</v>
      </c>
      <c r="P21" t="str">
        <f t="shared" si="1"/>
        <v>Mr. and Mrs. Max Dietz
20441 Harry Road, 
San Jose, CA  95120-2314
------</v>
      </c>
    </row>
    <row r="22" spans="1:19" x14ac:dyDescent="0.15">
      <c r="B22" s="4" t="s">
        <v>552</v>
      </c>
      <c r="C22" s="4" t="s">
        <v>4</v>
      </c>
      <c r="D22" s="4" t="s">
        <v>27</v>
      </c>
      <c r="E22" s="4" t="s">
        <v>340</v>
      </c>
      <c r="H22" s="4" t="s">
        <v>341</v>
      </c>
      <c r="I22" s="4" t="s">
        <v>370</v>
      </c>
      <c r="J22" s="4"/>
      <c r="K22" s="4" t="s">
        <v>347</v>
      </c>
      <c r="L22" s="4" t="s">
        <v>179</v>
      </c>
      <c r="M22" s="14" t="s">
        <v>348</v>
      </c>
      <c r="N22" s="4" t="str">
        <f t="shared" si="2"/>
        <v>Mr. and Mrs. John Duff and Family</v>
      </c>
      <c r="O22" t="str">
        <f t="shared" si="0"/>
        <v>Morristown, NJ  07960-4909</v>
      </c>
      <c r="P22" t="str">
        <f t="shared" si="1"/>
        <v>Mr. and Mrs. John Duff and Family
340 Western Ave, 
Morristown, NJ  07960-4909
------</v>
      </c>
    </row>
    <row r="23" spans="1:19" x14ac:dyDescent="0.15">
      <c r="B23" s="4" t="s">
        <v>463</v>
      </c>
      <c r="C23" s="4" t="s">
        <v>24</v>
      </c>
      <c r="D23" s="4" t="s">
        <v>448</v>
      </c>
      <c r="E23" s="4"/>
      <c r="F23" s="4"/>
      <c r="G23" s="8">
        <v>2012</v>
      </c>
      <c r="H23" s="4" t="s">
        <v>165</v>
      </c>
      <c r="I23" s="4" t="s">
        <v>401</v>
      </c>
      <c r="J23" s="4"/>
      <c r="K23" s="11" t="s">
        <v>400</v>
      </c>
      <c r="L23" s="5" t="s">
        <v>179</v>
      </c>
      <c r="M23" s="4" t="s">
        <v>402</v>
      </c>
      <c r="N23" s="4" t="str">
        <f t="shared" si="2"/>
        <v>Ms. Nicole Eckert</v>
      </c>
      <c r="O23" t="str">
        <f t="shared" si="0"/>
        <v>Lakewood, NJ  08701-7898</v>
      </c>
      <c r="P23" t="str">
        <f t="shared" si="1"/>
        <v>Ms. Nicole Eckert
893A Inverness Ct, 
Lakewood, NJ  08701-7898
------</v>
      </c>
    </row>
    <row r="24" spans="1:19" x14ac:dyDescent="0.15">
      <c r="A24" s="4"/>
      <c r="B24" s="4" t="s">
        <v>552</v>
      </c>
      <c r="C24" s="4" t="s">
        <v>399</v>
      </c>
      <c r="D24" s="4" t="s">
        <v>54</v>
      </c>
      <c r="E24" s="4"/>
      <c r="F24" s="4"/>
      <c r="G24" s="8">
        <v>2012</v>
      </c>
      <c r="H24" s="4" t="s">
        <v>165</v>
      </c>
      <c r="I24" s="4" t="s">
        <v>401</v>
      </c>
      <c r="J24" s="4"/>
      <c r="K24" s="11" t="s">
        <v>400</v>
      </c>
      <c r="L24" s="5" t="s">
        <v>179</v>
      </c>
      <c r="M24" s="4" t="s">
        <v>402</v>
      </c>
      <c r="N24" s="4" t="str">
        <f t="shared" si="2"/>
        <v>Mrs Renee Eckert</v>
      </c>
      <c r="O24" t="str">
        <f t="shared" si="0"/>
        <v>Lakewood, NJ  08701-7898</v>
      </c>
      <c r="P24" t="str">
        <f t="shared" si="1"/>
        <v>Mrs Renee Eckert
893A Inverness Ct, 
Lakewood, NJ  08701-7898
------</v>
      </c>
    </row>
    <row r="25" spans="1:19" x14ac:dyDescent="0.15">
      <c r="A25" s="4"/>
      <c r="B25" s="4" t="s">
        <v>552</v>
      </c>
      <c r="C25" s="4" t="s">
        <v>291</v>
      </c>
      <c r="D25" s="4" t="s">
        <v>292</v>
      </c>
      <c r="E25" s="4"/>
      <c r="F25" s="4"/>
      <c r="G25" s="7"/>
      <c r="H25" s="4" t="s">
        <v>293</v>
      </c>
      <c r="I25" s="4" t="s">
        <v>294</v>
      </c>
      <c r="J25" s="4"/>
      <c r="K25" s="11" t="s">
        <v>295</v>
      </c>
      <c r="L25" s="5" t="s">
        <v>179</v>
      </c>
      <c r="M25" s="14" t="s">
        <v>296</v>
      </c>
      <c r="N25" s="4" t="str">
        <f t="shared" si="2"/>
        <v>Dr. Ann Mary Fang</v>
      </c>
      <c r="O25" t="str">
        <f t="shared" si="0"/>
        <v>Berkeley Heights, NJ  07922-1215</v>
      </c>
      <c r="P25" t="str">
        <f t="shared" si="1"/>
        <v>Dr. Ann Mary Fang
299 Springfield Avenue, 
Berkeley Heights, NJ  07922-1215
------</v>
      </c>
    </row>
    <row r="26" spans="1:19" x14ac:dyDescent="0.15">
      <c r="B26" s="4" t="s">
        <v>375</v>
      </c>
      <c r="C26" t="s">
        <v>425</v>
      </c>
      <c r="D26" t="s">
        <v>460</v>
      </c>
      <c r="E26" t="s">
        <v>494</v>
      </c>
      <c r="H26" t="s">
        <v>461</v>
      </c>
      <c r="I26" s="4" t="s">
        <v>483</v>
      </c>
      <c r="J26" s="4" t="s">
        <v>462</v>
      </c>
      <c r="K26" t="s">
        <v>376</v>
      </c>
      <c r="L26" t="s">
        <v>184</v>
      </c>
      <c r="M26" s="4" t="s">
        <v>473</v>
      </c>
      <c r="N26" s="4" t="str">
        <f t="shared" si="2"/>
        <v>Dr. Adam Fano</v>
      </c>
      <c r="O26" t="str">
        <f t="shared" si="0"/>
        <v>Philadelphia, PA  19107-4263</v>
      </c>
      <c r="P26" t="str">
        <f t="shared" si="1"/>
        <v>Dr. Adam Fano
1101 Ludlow St, Apt 909
Philadelphia, PA  19107-4263
------</v>
      </c>
    </row>
    <row r="27" spans="1:19" x14ac:dyDescent="0.15">
      <c r="B27" s="4" t="s">
        <v>552</v>
      </c>
      <c r="C27" s="4" t="s">
        <v>4</v>
      </c>
      <c r="D27" s="4" t="s">
        <v>514</v>
      </c>
      <c r="E27" s="4" t="s">
        <v>516</v>
      </c>
      <c r="H27" t="s">
        <v>515</v>
      </c>
      <c r="I27" s="4" t="s">
        <v>408</v>
      </c>
      <c r="K27" s="11" t="s">
        <v>406</v>
      </c>
      <c r="L27" s="12" t="s">
        <v>286</v>
      </c>
      <c r="M27" s="4" t="s">
        <v>409</v>
      </c>
      <c r="N27" s="4" t="str">
        <f>TRIM(CONCATENATE(C27," ",D27," ",H27))</f>
        <v>Mr. and Mrs. Corey Craver</v>
      </c>
      <c r="O27" t="str">
        <f t="shared" si="0"/>
        <v>Walton, KS  67151-9013</v>
      </c>
      <c r="P27" t="str">
        <f t="shared" si="1"/>
        <v>Mr. and Mrs. Corey Craver
9300 NE 60th Street, 
Walton, KS  67151-9013
------</v>
      </c>
    </row>
    <row r="28" spans="1:19" x14ac:dyDescent="0.15">
      <c r="A28" s="4"/>
      <c r="B28" s="4" t="s">
        <v>552</v>
      </c>
      <c r="C28" s="4" t="s">
        <v>4</v>
      </c>
      <c r="D28" s="4" t="s">
        <v>37</v>
      </c>
      <c r="E28" s="4" t="s">
        <v>38</v>
      </c>
      <c r="F28" s="4"/>
      <c r="G28" s="8"/>
      <c r="H28" s="4" t="s">
        <v>34</v>
      </c>
      <c r="I28" s="4" t="s">
        <v>214</v>
      </c>
      <c r="J28" s="4"/>
      <c r="K28" s="11" t="s">
        <v>122</v>
      </c>
      <c r="L28" s="5" t="s">
        <v>179</v>
      </c>
      <c r="M28" s="14" t="s">
        <v>188</v>
      </c>
      <c r="N28" s="4" t="str">
        <f>TRIM(CONCATENATE(C28," ",D28," ",H28))</f>
        <v>Mr. and Mrs. David Flood</v>
      </c>
      <c r="O28" t="str">
        <f t="shared" si="0"/>
        <v>Scotch Plains, NJ  07076-4517</v>
      </c>
      <c r="P28" t="str">
        <f t="shared" si="1"/>
        <v>Mr. and Mrs. David Flood
2421 Hill Rd, 
Scotch Plains, NJ  07076-4517
------</v>
      </c>
      <c r="S28">
        <v>7</v>
      </c>
    </row>
    <row r="29" spans="1:19" x14ac:dyDescent="0.15">
      <c r="A29" s="4"/>
      <c r="B29" s="4" t="s">
        <v>552</v>
      </c>
      <c r="C29" s="4" t="s">
        <v>390</v>
      </c>
      <c r="D29" s="4" t="s">
        <v>33</v>
      </c>
      <c r="E29" s="4" t="s">
        <v>334</v>
      </c>
      <c r="F29" s="4"/>
      <c r="G29" s="8">
        <v>2014</v>
      </c>
      <c r="H29" s="4" t="s">
        <v>34</v>
      </c>
      <c r="I29" s="4" t="s">
        <v>368</v>
      </c>
      <c r="J29" s="4"/>
      <c r="K29" s="11" t="s">
        <v>282</v>
      </c>
      <c r="L29" s="5" t="s">
        <v>205</v>
      </c>
      <c r="M29" s="14" t="s">
        <v>369</v>
      </c>
      <c r="N29" s="4" t="str">
        <f>TRIM(CONCATENATE(C29," ",D29," ",H29," ",E29))</f>
        <v>Mr.and Mrs. James Flood and Family</v>
      </c>
      <c r="O29" t="str">
        <f t="shared" si="0"/>
        <v>Warren, MA  01083-0424</v>
      </c>
      <c r="P29" t="str">
        <f t="shared" si="1"/>
        <v>Mr.and Mrs. James Flood and Family
PO Box 424, 
Warren, MA  01083-0424
------</v>
      </c>
    </row>
    <row r="30" spans="1:19" x14ac:dyDescent="0.15">
      <c r="A30" s="4"/>
      <c r="B30" s="4" t="s">
        <v>552</v>
      </c>
      <c r="C30" s="4" t="s">
        <v>35</v>
      </c>
      <c r="D30" s="4" t="s">
        <v>39</v>
      </c>
      <c r="E30" s="4"/>
      <c r="F30" s="4"/>
      <c r="G30" s="8"/>
      <c r="H30" s="4" t="s">
        <v>34</v>
      </c>
      <c r="I30" s="4" t="s">
        <v>236</v>
      </c>
      <c r="J30" s="4"/>
      <c r="K30" s="11" t="s">
        <v>129</v>
      </c>
      <c r="L30" s="5" t="s">
        <v>179</v>
      </c>
      <c r="M30" s="14" t="s">
        <v>189</v>
      </c>
      <c r="N30" s="4" t="str">
        <f t="shared" ref="N30:N60" si="3">TRIM(CONCATENATE(C30," ",D30," ",H30))</f>
        <v>Mr. Peter Flood</v>
      </c>
      <c r="O30" t="str">
        <f t="shared" si="0"/>
        <v>Belvidere, NJ  07823-2001</v>
      </c>
      <c r="P30" t="str">
        <f t="shared" si="1"/>
        <v>Mr. Peter Flood
707 4th St, 
Belvidere, NJ  07823-2001
------</v>
      </c>
    </row>
    <row r="31" spans="1:19" x14ac:dyDescent="0.15">
      <c r="A31" s="4"/>
      <c r="B31" s="4" t="s">
        <v>552</v>
      </c>
      <c r="C31" s="4" t="s">
        <v>35</v>
      </c>
      <c r="D31" s="4" t="s">
        <v>36</v>
      </c>
      <c r="E31" s="4"/>
      <c r="F31" s="4" t="s">
        <v>314</v>
      </c>
      <c r="G31" s="8"/>
      <c r="H31" s="4" t="s">
        <v>34</v>
      </c>
      <c r="I31" s="4" t="s">
        <v>213</v>
      </c>
      <c r="J31" s="4"/>
      <c r="K31" s="11" t="s">
        <v>119</v>
      </c>
      <c r="L31" s="5" t="s">
        <v>179</v>
      </c>
      <c r="M31" s="14" t="s">
        <v>187</v>
      </c>
      <c r="N31" s="4" t="str">
        <f t="shared" si="3"/>
        <v>Mr. Thomas Flood</v>
      </c>
      <c r="O31" t="str">
        <f t="shared" si="0"/>
        <v>Clark, NJ  07066-2916</v>
      </c>
      <c r="P31" t="str">
        <f t="shared" si="1"/>
        <v>Mr. Thomas Flood
18 Ridge Rd, 
Clark, NJ  07066-2916
------</v>
      </c>
    </row>
    <row r="32" spans="1:19" x14ac:dyDescent="0.15">
      <c r="A32" s="4"/>
      <c r="B32" s="4" t="s">
        <v>552</v>
      </c>
      <c r="C32" s="4" t="s">
        <v>4</v>
      </c>
      <c r="D32" s="4" t="s">
        <v>104</v>
      </c>
      <c r="E32" s="4" t="s">
        <v>9</v>
      </c>
      <c r="F32" s="4"/>
      <c r="G32" s="7"/>
      <c r="H32" s="4" t="s">
        <v>258</v>
      </c>
      <c r="I32" s="4" t="s">
        <v>259</v>
      </c>
      <c r="J32" s="4"/>
      <c r="K32" s="11" t="s">
        <v>119</v>
      </c>
      <c r="L32" s="5" t="s">
        <v>179</v>
      </c>
      <c r="M32" s="14" t="s">
        <v>260</v>
      </c>
      <c r="N32" s="4" t="str">
        <f t="shared" si="3"/>
        <v>Mr. and Mrs. Michael Fresco</v>
      </c>
      <c r="O32" t="str">
        <f t="shared" si="0"/>
        <v>Clark, NJ  07066-3007</v>
      </c>
      <c r="P32" t="str">
        <f t="shared" si="1"/>
        <v>Mr. and Mrs. Michael Fresco
43 Devon Lane, 
Clark, NJ  07066-3007
------</v>
      </c>
    </row>
    <row r="33" spans="1:16" x14ac:dyDescent="0.15">
      <c r="A33" s="4"/>
      <c r="B33" s="14" t="s">
        <v>550</v>
      </c>
      <c r="C33" s="4" t="s">
        <v>4</v>
      </c>
      <c r="D33" s="4" t="s">
        <v>269</v>
      </c>
      <c r="E33" s="4" t="s">
        <v>266</v>
      </c>
      <c r="F33" s="4"/>
      <c r="G33" s="7"/>
      <c r="H33" s="4" t="s">
        <v>265</v>
      </c>
      <c r="I33" s="4" t="s">
        <v>267</v>
      </c>
      <c r="J33" s="4" t="s">
        <v>270</v>
      </c>
      <c r="K33" s="4"/>
      <c r="L33" s="4" t="s">
        <v>268</v>
      </c>
      <c r="N33" s="4" t="str">
        <f t="shared" si="3"/>
        <v>Mr. and Mrs. João Goes</v>
      </c>
      <c r="O33" t="str">
        <f t="shared" si="0"/>
        <v xml:space="preserve">, Portugal   </v>
      </c>
      <c r="P33" t="str">
        <f t="shared" si="1"/>
        <v>Mr. and Mrs. João Goes
Avenida Diogo Cão, N15 - 2C , 2670-327 Infantado Loures
, Portugal   
------</v>
      </c>
    </row>
    <row r="34" spans="1:16" x14ac:dyDescent="0.15">
      <c r="B34" s="4" t="s">
        <v>375</v>
      </c>
      <c r="C34" t="s">
        <v>425</v>
      </c>
      <c r="D34" t="s">
        <v>104</v>
      </c>
      <c r="E34" t="s">
        <v>479</v>
      </c>
      <c r="H34" t="s">
        <v>438</v>
      </c>
      <c r="I34" s="4" t="s">
        <v>482</v>
      </c>
      <c r="J34" s="4" t="s">
        <v>439</v>
      </c>
      <c r="K34" t="s">
        <v>440</v>
      </c>
      <c r="L34" t="s">
        <v>441</v>
      </c>
      <c r="M34" s="4" t="s">
        <v>468</v>
      </c>
      <c r="N34" s="4" t="str">
        <f t="shared" si="3"/>
        <v>Dr. Michael Gutman</v>
      </c>
      <c r="O34" t="str">
        <f t="shared" si="0"/>
        <v>Chicago, IL  60611-4417</v>
      </c>
      <c r="P34" t="str">
        <f t="shared" si="1"/>
        <v>Dr. Michael Gutman
401 E Ontario St, Apt 2510
Chicago, IL  60611-4417
------</v>
      </c>
    </row>
    <row r="35" spans="1:16" x14ac:dyDescent="0.15">
      <c r="A35" s="4" t="s">
        <v>544</v>
      </c>
      <c r="B35" s="4" t="s">
        <v>375</v>
      </c>
      <c r="C35" t="s">
        <v>425</v>
      </c>
      <c r="D35" t="s">
        <v>444</v>
      </c>
      <c r="E35" t="s">
        <v>479</v>
      </c>
      <c r="H35" t="s">
        <v>445</v>
      </c>
      <c r="I35" s="4" t="s">
        <v>547</v>
      </c>
      <c r="J35" s="4" t="s">
        <v>545</v>
      </c>
      <c r="K35" s="4" t="s">
        <v>549</v>
      </c>
      <c r="L35" s="4" t="s">
        <v>546</v>
      </c>
      <c r="M35" s="4" t="s">
        <v>548</v>
      </c>
      <c r="N35" s="4" t="str">
        <f t="shared" si="3"/>
        <v>Dr. Abraham Hakim</v>
      </c>
      <c r="O35" t="str">
        <f t="shared" si="0"/>
        <v>Washington, DC  20004-1449</v>
      </c>
      <c r="P35" t="str">
        <f t="shared" si="1"/>
        <v>Dr. Abraham Hakim
912 F ST NW, Apt 708
Washington, DC  20004-1449
------</v>
      </c>
    </row>
    <row r="36" spans="1:16" x14ac:dyDescent="0.15">
      <c r="B36" s="4" t="s">
        <v>375</v>
      </c>
      <c r="C36" t="s">
        <v>425</v>
      </c>
      <c r="D36" t="s">
        <v>160</v>
      </c>
      <c r="E36" t="s">
        <v>492</v>
      </c>
      <c r="H36" t="s">
        <v>446</v>
      </c>
      <c r="I36" s="4" t="s">
        <v>485</v>
      </c>
      <c r="J36" s="4" t="s">
        <v>486</v>
      </c>
      <c r="K36" s="4" t="s">
        <v>376</v>
      </c>
      <c r="L36" t="s">
        <v>184</v>
      </c>
      <c r="M36" s="4" t="s">
        <v>470</v>
      </c>
      <c r="N36" s="4" t="str">
        <f t="shared" si="3"/>
        <v>Dr. Emily Hansinger</v>
      </c>
      <c r="O36" t="str">
        <f t="shared" si="0"/>
        <v>Philadelphia, PA  19106-4032</v>
      </c>
      <c r="P36" t="str">
        <f t="shared" si="1"/>
        <v>Dr. Emily Hansinger
734 Pine St, Apt 3F
Philadelphia, PA  19106-4032
------</v>
      </c>
    </row>
    <row r="37" spans="1:16" ht="14" x14ac:dyDescent="0.15">
      <c r="A37" s="4"/>
      <c r="B37" s="4" t="s">
        <v>552</v>
      </c>
      <c r="C37" s="4" t="s">
        <v>4</v>
      </c>
      <c r="D37" s="4" t="s">
        <v>78</v>
      </c>
      <c r="E37" s="9" t="s">
        <v>32</v>
      </c>
      <c r="F37" s="9"/>
      <c r="G37" s="8">
        <v>2019</v>
      </c>
      <c r="H37" s="4" t="s">
        <v>166</v>
      </c>
      <c r="I37" s="4" t="s">
        <v>167</v>
      </c>
      <c r="J37" s="4"/>
      <c r="K37" s="11" t="s">
        <v>261</v>
      </c>
      <c r="L37" s="5" t="s">
        <v>184</v>
      </c>
      <c r="M37" s="14" t="s">
        <v>186</v>
      </c>
      <c r="N37" s="4" t="str">
        <f t="shared" si="3"/>
        <v>Mr. and Mrs. Brian Hart</v>
      </c>
      <c r="O37" t="str">
        <f t="shared" si="0"/>
        <v>McMurray, PA  15317-3062</v>
      </c>
      <c r="P37" t="str">
        <f t="shared" si="1"/>
        <v>Mr. and Mrs. Brian Hart
272 Center Church Rd, 
McMurray, PA  15317-3062
------</v>
      </c>
    </row>
    <row r="38" spans="1:16" x14ac:dyDescent="0.15">
      <c r="B38" s="4" t="s">
        <v>552</v>
      </c>
      <c r="C38" s="4" t="s">
        <v>35</v>
      </c>
      <c r="D38" s="4" t="s">
        <v>375</v>
      </c>
      <c r="H38" s="4" t="s">
        <v>42</v>
      </c>
      <c r="I38" s="4" t="s">
        <v>394</v>
      </c>
      <c r="K38" s="11" t="s">
        <v>376</v>
      </c>
      <c r="L38" s="5" t="s">
        <v>184</v>
      </c>
      <c r="M38" s="4" t="s">
        <v>395</v>
      </c>
      <c r="N38" s="4" t="str">
        <f t="shared" si="3"/>
        <v>Mr. Alec Kellish</v>
      </c>
      <c r="O38" t="str">
        <f t="shared" si="0"/>
        <v>Philadelphia, PA  19147-2837</v>
      </c>
      <c r="P38" t="str">
        <f t="shared" si="1"/>
        <v>Mr. Alec Kellish
758 S 9th Street, 
Philadelphia, PA  19147-2837
------</v>
      </c>
    </row>
    <row r="39" spans="1:16" x14ac:dyDescent="0.15">
      <c r="A39" s="4"/>
      <c r="B39" s="4" t="s">
        <v>552</v>
      </c>
      <c r="C39" s="4" t="s">
        <v>4</v>
      </c>
      <c r="D39" s="4" t="s">
        <v>37</v>
      </c>
      <c r="E39" s="4" t="s">
        <v>43</v>
      </c>
      <c r="F39" s="4"/>
      <c r="G39" s="8">
        <v>2019</v>
      </c>
      <c r="H39" s="4" t="s">
        <v>42</v>
      </c>
      <c r="I39" s="4" t="s">
        <v>509</v>
      </c>
      <c r="J39" s="4"/>
      <c r="K39" s="11" t="s">
        <v>510</v>
      </c>
      <c r="L39" s="5" t="s">
        <v>178</v>
      </c>
      <c r="M39" s="4" t="s">
        <v>511</v>
      </c>
      <c r="N39" s="4" t="str">
        <f t="shared" si="3"/>
        <v>Mr. and Mrs. David Kellish</v>
      </c>
      <c r="O39" t="str">
        <f t="shared" si="0"/>
        <v>Chestertown, NY  12817-0723</v>
      </c>
      <c r="P39" t="str">
        <f t="shared" si="1"/>
        <v>Mr. and Mrs. David Kellish
PO Box 723, 
Chestertown, NY  12817-0723
------</v>
      </c>
    </row>
    <row r="40" spans="1:16" x14ac:dyDescent="0.15">
      <c r="A40" s="4"/>
      <c r="B40" s="4" t="s">
        <v>552</v>
      </c>
      <c r="C40" s="4" t="s">
        <v>4</v>
      </c>
      <c r="D40" s="4" t="s">
        <v>44</v>
      </c>
      <c r="E40" s="4" t="s">
        <v>45</v>
      </c>
      <c r="F40" s="4"/>
      <c r="G40" s="8">
        <v>2019</v>
      </c>
      <c r="H40" s="4" t="s">
        <v>42</v>
      </c>
      <c r="I40" s="4" t="s">
        <v>574</v>
      </c>
      <c r="J40" s="4"/>
      <c r="K40" s="11" t="s">
        <v>393</v>
      </c>
      <c r="L40" s="5" t="s">
        <v>179</v>
      </c>
      <c r="M40" s="4" t="s">
        <v>575</v>
      </c>
      <c r="N40" s="4" t="str">
        <f t="shared" si="3"/>
        <v>Mr. and Mrs. Joel Kellish</v>
      </c>
      <c r="O40" t="str">
        <f t="shared" si="0"/>
        <v>Morris Plains, NJ  07950-3246</v>
      </c>
      <c r="P40" t="str">
        <f t="shared" si="1"/>
        <v>Mr. and Mrs. Joel Kellish
26 Cross Road, 
Morris Plains, NJ  07950-3246
------</v>
      </c>
    </row>
    <row r="41" spans="1:16" x14ac:dyDescent="0.15">
      <c r="A41" s="4"/>
      <c r="B41" s="4" t="s">
        <v>552</v>
      </c>
      <c r="C41" s="4" t="s">
        <v>40</v>
      </c>
      <c r="D41" s="4" t="s">
        <v>41</v>
      </c>
      <c r="F41" s="4"/>
      <c r="G41" s="8">
        <v>2014</v>
      </c>
      <c r="H41" s="4" t="s">
        <v>42</v>
      </c>
      <c r="I41" s="4" t="s">
        <v>386</v>
      </c>
      <c r="J41" s="4" t="s">
        <v>387</v>
      </c>
      <c r="K41" s="11" t="s">
        <v>388</v>
      </c>
      <c r="L41" s="5" t="s">
        <v>184</v>
      </c>
      <c r="M41" s="14" t="s">
        <v>389</v>
      </c>
      <c r="N41" s="4" t="str">
        <f t="shared" si="3"/>
        <v>Mrs. Joyce Kellish</v>
      </c>
      <c r="O41" t="str">
        <f t="shared" si="0"/>
        <v>Upper St Clair, PA  15241-4032</v>
      </c>
      <c r="P41" t="str">
        <f t="shared" si="1"/>
        <v>Mrs. Joyce Kellish
1296 Boyce Road, Box 203
Upper St Clair, PA  15241-4032
------</v>
      </c>
    </row>
    <row r="42" spans="1:16" x14ac:dyDescent="0.15">
      <c r="A42" s="4"/>
      <c r="B42" s="4" t="s">
        <v>552</v>
      </c>
      <c r="C42" s="4" t="s">
        <v>4</v>
      </c>
      <c r="D42" s="4" t="s">
        <v>46</v>
      </c>
      <c r="E42" s="4"/>
      <c r="F42" s="4"/>
      <c r="G42" s="8">
        <v>2019</v>
      </c>
      <c r="H42" s="4" t="s">
        <v>47</v>
      </c>
      <c r="I42" s="4" t="s">
        <v>215</v>
      </c>
      <c r="J42" s="4"/>
      <c r="K42" s="11" t="s">
        <v>120</v>
      </c>
      <c r="L42" s="5" t="s">
        <v>179</v>
      </c>
      <c r="M42" s="14" t="s">
        <v>190</v>
      </c>
      <c r="N42" s="4" t="str">
        <f t="shared" si="3"/>
        <v>Mr. and Mrs. Robert Kiernan</v>
      </c>
      <c r="O42" t="str">
        <f t="shared" si="0"/>
        <v>Caldwell, NJ  07006-4918</v>
      </c>
      <c r="P42" t="str">
        <f t="shared" si="1"/>
        <v>Mr. and Mrs. Robert Kiernan
8 Wakefield Pl, 
Caldwell, NJ  07006-4918
------</v>
      </c>
    </row>
    <row r="43" spans="1:16" x14ac:dyDescent="0.15">
      <c r="A43" s="4"/>
      <c r="B43" s="4" t="s">
        <v>552</v>
      </c>
      <c r="C43" s="4" t="s">
        <v>35</v>
      </c>
      <c r="D43" s="4" t="s">
        <v>52</v>
      </c>
      <c r="E43" s="4"/>
      <c r="F43" s="4"/>
      <c r="G43" s="8"/>
      <c r="H43" s="4" t="s">
        <v>48</v>
      </c>
      <c r="I43" s="4" t="s">
        <v>216</v>
      </c>
      <c r="J43" s="4"/>
      <c r="K43" s="11" t="s">
        <v>117</v>
      </c>
      <c r="L43" s="5" t="s">
        <v>179</v>
      </c>
      <c r="M43" s="14" t="s">
        <v>193</v>
      </c>
      <c r="N43" s="4" t="str">
        <f t="shared" si="3"/>
        <v>Mr. Edward Kirk</v>
      </c>
      <c r="O43" t="str">
        <f t="shared" si="0"/>
        <v>Elizabeth, NJ  07208-1006</v>
      </c>
      <c r="P43" t="str">
        <f t="shared" si="1"/>
        <v>Mr. Edward Kirk
1144 Coolidge Rd, 
Elizabeth, NJ  07208-1006
------</v>
      </c>
    </row>
    <row r="44" spans="1:16" x14ac:dyDescent="0.15">
      <c r="A44" s="4"/>
      <c r="B44" s="4" t="s">
        <v>552</v>
      </c>
      <c r="C44" s="4" t="s">
        <v>24</v>
      </c>
      <c r="D44" s="4" t="s">
        <v>50</v>
      </c>
      <c r="E44" s="4" t="s">
        <v>109</v>
      </c>
      <c r="F44" s="4"/>
      <c r="G44" s="8"/>
      <c r="H44" s="4" t="s">
        <v>48</v>
      </c>
      <c r="I44" s="4" t="s">
        <v>51</v>
      </c>
      <c r="J44" s="4"/>
      <c r="K44" s="11" t="s">
        <v>121</v>
      </c>
      <c r="L44" s="5" t="s">
        <v>179</v>
      </c>
      <c r="M44" s="14" t="s">
        <v>191</v>
      </c>
      <c r="N44" s="4" t="str">
        <f t="shared" si="3"/>
        <v>Ms. Lori Kirk</v>
      </c>
      <c r="O44" t="str">
        <f t="shared" si="0"/>
        <v>Union, NJ  07083-9113</v>
      </c>
      <c r="P44" t="str">
        <f t="shared" si="1"/>
        <v>Ms. Lori Kirk
668 Lexington Rd, 
Union, NJ  07083-9113
------</v>
      </c>
    </row>
    <row r="45" spans="1:16" x14ac:dyDescent="0.15">
      <c r="A45" s="4"/>
      <c r="B45" s="4" t="s">
        <v>552</v>
      </c>
      <c r="C45" s="4" t="s">
        <v>24</v>
      </c>
      <c r="D45" s="4" t="s">
        <v>512</v>
      </c>
      <c r="E45" s="4"/>
      <c r="F45" s="4"/>
      <c r="G45" s="8">
        <v>2019</v>
      </c>
      <c r="H45" s="4" t="s">
        <v>48</v>
      </c>
      <c r="I45" s="4" t="s">
        <v>413</v>
      </c>
      <c r="J45" s="4"/>
      <c r="K45" s="11" t="s">
        <v>414</v>
      </c>
      <c r="L45" s="5" t="s">
        <v>415</v>
      </c>
      <c r="M45" s="4" t="s">
        <v>416</v>
      </c>
      <c r="N45" s="4" t="str">
        <f t="shared" si="3"/>
        <v>Ms. Mary Kirk</v>
      </c>
      <c r="O45" t="str">
        <f t="shared" si="0"/>
        <v>Newark, DE  19702-4315</v>
      </c>
      <c r="P45" t="str">
        <f t="shared" si="1"/>
        <v>Ms. Mary Kirk
29 Vaughn Lane, 
Newark, DE  19702-4315
------</v>
      </c>
    </row>
    <row r="46" spans="1:16" x14ac:dyDescent="0.15">
      <c r="A46" s="4"/>
      <c r="B46" s="4" t="s">
        <v>552</v>
      </c>
      <c r="C46" s="4" t="s">
        <v>35</v>
      </c>
      <c r="D46" s="4" t="s">
        <v>36</v>
      </c>
      <c r="E46" s="4"/>
      <c r="F46" s="4"/>
      <c r="G46" s="8"/>
      <c r="H46" s="4" t="s">
        <v>48</v>
      </c>
      <c r="I46" s="4" t="s">
        <v>238</v>
      </c>
      <c r="J46" s="4"/>
      <c r="K46" s="11" t="s">
        <v>115</v>
      </c>
      <c r="L46" s="5" t="s">
        <v>178</v>
      </c>
      <c r="M46" s="14" t="s">
        <v>194</v>
      </c>
      <c r="N46" s="4" t="str">
        <f t="shared" si="3"/>
        <v>Mr. Thomas Kirk</v>
      </c>
      <c r="O46" t="str">
        <f t="shared" si="0"/>
        <v>New York, NY  10003-5005</v>
      </c>
      <c r="P46" t="str">
        <f t="shared" si="1"/>
        <v>Mr. Thomas Kirk
77 E 12th St Apt 9C, 
New York, NY  10003-5005
------</v>
      </c>
    </row>
    <row r="47" spans="1:16" x14ac:dyDescent="0.15">
      <c r="A47" s="4"/>
      <c r="B47" s="4" t="s">
        <v>552</v>
      </c>
      <c r="C47" s="4" t="s">
        <v>35</v>
      </c>
      <c r="D47" s="4" t="s">
        <v>49</v>
      </c>
      <c r="E47" s="4"/>
      <c r="F47" s="4"/>
      <c r="G47" s="8"/>
      <c r="H47" s="4" t="s">
        <v>48</v>
      </c>
      <c r="I47" s="4" t="s">
        <v>237</v>
      </c>
      <c r="J47" s="4"/>
      <c r="K47" s="11" t="s">
        <v>121</v>
      </c>
      <c r="L47" s="5" t="s">
        <v>179</v>
      </c>
      <c r="M47" s="14" t="s">
        <v>192</v>
      </c>
      <c r="N47" s="4" t="str">
        <f t="shared" si="3"/>
        <v>Mr. Timothy Kirk</v>
      </c>
      <c r="O47" t="str">
        <f t="shared" si="0"/>
        <v>Union, NJ  07083-6904</v>
      </c>
      <c r="P47" t="str">
        <f t="shared" si="1"/>
        <v>Mr. Timothy Kirk
952 Johnson Pl Floor 2, 
Union, NJ  07083-6904
------</v>
      </c>
    </row>
    <row r="48" spans="1:16" x14ac:dyDescent="0.15">
      <c r="A48" s="4"/>
      <c r="B48" s="4" t="s">
        <v>552</v>
      </c>
      <c r="C48" s="4" t="s">
        <v>40</v>
      </c>
      <c r="D48" s="4" t="s">
        <v>54</v>
      </c>
      <c r="E48" s="4"/>
      <c r="F48" s="4"/>
      <c r="G48" s="8"/>
      <c r="H48" s="4" t="s">
        <v>55</v>
      </c>
      <c r="I48" s="4" t="s">
        <v>532</v>
      </c>
      <c r="J48" s="4" t="s">
        <v>534</v>
      </c>
      <c r="K48" s="11" t="s">
        <v>533</v>
      </c>
      <c r="L48" s="5" t="s">
        <v>184</v>
      </c>
      <c r="M48" s="4" t="s">
        <v>535</v>
      </c>
      <c r="N48" s="4" t="str">
        <f t="shared" si="3"/>
        <v>Mrs. Renee Kuperschmid</v>
      </c>
      <c r="O48" t="str">
        <f t="shared" si="0"/>
        <v>Milford, PA  18337-1115</v>
      </c>
      <c r="P48" t="str">
        <f t="shared" si="1"/>
        <v>Mrs. Renee Kuperschmid
125 Sawkill Avenue, Apt H
Milford, PA  18337-1115
------</v>
      </c>
    </row>
    <row r="49" spans="1:19" x14ac:dyDescent="0.15">
      <c r="A49" s="4"/>
      <c r="B49" s="4" t="s">
        <v>552</v>
      </c>
      <c r="C49" s="4" t="s">
        <v>513</v>
      </c>
      <c r="D49" s="4" t="s">
        <v>53</v>
      </c>
      <c r="E49" s="4"/>
      <c r="F49" s="4"/>
      <c r="G49" s="8">
        <v>2019</v>
      </c>
      <c r="H49" s="4" t="s">
        <v>55</v>
      </c>
      <c r="I49" s="4" t="s">
        <v>217</v>
      </c>
      <c r="J49" s="4"/>
      <c r="K49" s="11" t="s">
        <v>122</v>
      </c>
      <c r="L49" s="5" t="s">
        <v>179</v>
      </c>
      <c r="M49" s="14" t="s">
        <v>195</v>
      </c>
      <c r="N49" s="4" t="str">
        <f t="shared" si="3"/>
        <v>Mr. Jordan Kuperschmid</v>
      </c>
      <c r="O49" t="str">
        <f t="shared" si="0"/>
        <v>Scotch Plains, NJ  07076-2438</v>
      </c>
      <c r="P49" t="str">
        <f t="shared" si="1"/>
        <v>Mr. Jordan Kuperschmid
46 Clydesdale Rd, 
Scotch Plains, NJ  07076-2438
------</v>
      </c>
    </row>
    <row r="50" spans="1:19" x14ac:dyDescent="0.15">
      <c r="A50" s="4"/>
      <c r="B50" s="4" t="s">
        <v>552</v>
      </c>
      <c r="C50" s="4" t="s">
        <v>24</v>
      </c>
      <c r="D50" s="4" t="s">
        <v>506</v>
      </c>
      <c r="E50" s="4"/>
      <c r="F50" s="4" t="s">
        <v>314</v>
      </c>
      <c r="G50" s="8"/>
      <c r="H50" s="4" t="s">
        <v>56</v>
      </c>
      <c r="I50" s="4" t="s">
        <v>503</v>
      </c>
      <c r="J50" s="4" t="s">
        <v>504</v>
      </c>
      <c r="K50" s="11" t="s">
        <v>135</v>
      </c>
      <c r="L50" s="5" t="s">
        <v>196</v>
      </c>
      <c r="M50" s="14" t="s">
        <v>505</v>
      </c>
      <c r="N50" s="4" t="str">
        <f t="shared" si="3"/>
        <v>Ms. Marigrace Labella</v>
      </c>
      <c r="O50" t="str">
        <f t="shared" si="0"/>
        <v>Raleigh, NC  27606-5653</v>
      </c>
      <c r="P50" t="str">
        <f t="shared" si="1"/>
        <v>Ms. Marigrace Labella
600 Bilyeu Street, Apt 252
Raleigh, NC  27606-5653
------</v>
      </c>
    </row>
    <row r="51" spans="1:19" x14ac:dyDescent="0.15">
      <c r="A51" s="4"/>
      <c r="B51" s="4" t="s">
        <v>552</v>
      </c>
      <c r="C51" s="4" t="s">
        <v>4</v>
      </c>
      <c r="D51" s="4" t="s">
        <v>36</v>
      </c>
      <c r="E51" s="4" t="s">
        <v>57</v>
      </c>
      <c r="F51" s="4"/>
      <c r="G51" s="8">
        <v>2014</v>
      </c>
      <c r="H51" s="4" t="s">
        <v>58</v>
      </c>
      <c r="I51" s="4" t="s">
        <v>218</v>
      </c>
      <c r="J51" s="4"/>
      <c r="K51" s="11" t="s">
        <v>124</v>
      </c>
      <c r="L51" s="5" t="s">
        <v>179</v>
      </c>
      <c r="M51" s="14" t="s">
        <v>197</v>
      </c>
      <c r="N51" s="4" t="str">
        <f t="shared" si="3"/>
        <v>Mr. and Mrs. Thomas Larkin</v>
      </c>
      <c r="O51" t="str">
        <f t="shared" si="0"/>
        <v>Somerset, NJ  08873-6435</v>
      </c>
      <c r="P51" t="str">
        <f t="shared" si="1"/>
        <v>Mr. and Mrs. Thomas Larkin
13 Denbigh Dr, 
Somerset, NJ  08873-6435
------</v>
      </c>
    </row>
    <row r="52" spans="1:19" x14ac:dyDescent="0.15">
      <c r="A52" s="4"/>
      <c r="B52" s="4" t="s">
        <v>552</v>
      </c>
      <c r="C52" s="4" t="s">
        <v>4</v>
      </c>
      <c r="D52" s="4" t="s">
        <v>59</v>
      </c>
      <c r="E52" s="4" t="s">
        <v>60</v>
      </c>
      <c r="F52" s="4"/>
      <c r="G52" s="8"/>
      <c r="H52" s="4" t="s">
        <v>61</v>
      </c>
      <c r="I52" s="4" t="s">
        <v>219</v>
      </c>
      <c r="J52" s="4"/>
      <c r="K52" s="11" t="s">
        <v>121</v>
      </c>
      <c r="L52" s="5" t="s">
        <v>179</v>
      </c>
      <c r="M52" s="14" t="s">
        <v>198</v>
      </c>
      <c r="N52" s="4" t="str">
        <f t="shared" si="3"/>
        <v>Mr. and Mrs. Jose Leon</v>
      </c>
      <c r="O52" t="str">
        <f t="shared" si="0"/>
        <v>Union, NJ  07083-9105</v>
      </c>
      <c r="P52" t="str">
        <f t="shared" si="1"/>
        <v>Mr. and Mrs. Jose Leon
641 Bennington Dr, 
Union, NJ  07083-9105
------</v>
      </c>
    </row>
    <row r="53" spans="1:19" x14ac:dyDescent="0.15">
      <c r="A53" s="4"/>
      <c r="B53" s="14" t="s">
        <v>551</v>
      </c>
      <c r="C53" s="4" t="s">
        <v>62</v>
      </c>
      <c r="D53" s="4" t="s">
        <v>63</v>
      </c>
      <c r="E53" s="4"/>
      <c r="F53" s="4"/>
      <c r="G53" s="8">
        <v>2019</v>
      </c>
      <c r="H53" s="4" t="s">
        <v>64</v>
      </c>
      <c r="I53" s="4" t="s">
        <v>220</v>
      </c>
      <c r="J53" s="4"/>
      <c r="K53" s="11" t="s">
        <v>125</v>
      </c>
      <c r="L53" s="5" t="s">
        <v>179</v>
      </c>
      <c r="M53" s="14" t="s">
        <v>65</v>
      </c>
      <c r="N53" s="4" t="str">
        <f t="shared" si="3"/>
        <v>Mr and Mrs Damon Logiudice</v>
      </c>
      <c r="O53" t="str">
        <f t="shared" si="0"/>
        <v>Bordentown, NJ  08505-3184</v>
      </c>
      <c r="P53" t="str">
        <f t="shared" si="1"/>
        <v>Mr and Mrs Damon Logiudice
19 Farmington Ct, 
Bordentown, NJ  08505-3184
------</v>
      </c>
    </row>
    <row r="54" spans="1:19" x14ac:dyDescent="0.15">
      <c r="A54" s="4"/>
      <c r="B54" s="4" t="s">
        <v>552</v>
      </c>
      <c r="C54" s="4" t="s">
        <v>40</v>
      </c>
      <c r="D54" s="4" t="s">
        <v>157</v>
      </c>
      <c r="E54" s="4"/>
      <c r="F54" s="4"/>
      <c r="G54" s="8"/>
      <c r="H54" s="4" t="s">
        <v>158</v>
      </c>
      <c r="I54" s="11" t="s">
        <v>263</v>
      </c>
      <c r="J54" s="4"/>
      <c r="K54" s="11" t="s">
        <v>262</v>
      </c>
      <c r="L54" s="5" t="s">
        <v>205</v>
      </c>
      <c r="M54" s="14" t="s">
        <v>264</v>
      </c>
      <c r="N54" s="4" t="str">
        <f t="shared" si="3"/>
        <v>Mrs. Sherri Lowell</v>
      </c>
      <c r="O54" t="str">
        <f t="shared" si="0"/>
        <v>Nantucket, MA  02554-2196</v>
      </c>
      <c r="P54" t="str">
        <f t="shared" si="1"/>
        <v>Mrs. Sherri Lowell
4 New Lane, 
Nantucket, MA  02554-2196
------</v>
      </c>
    </row>
    <row r="55" spans="1:19" x14ac:dyDescent="0.15">
      <c r="A55" s="4"/>
      <c r="B55" s="4" t="s">
        <v>552</v>
      </c>
      <c r="C55" s="4" t="s">
        <v>24</v>
      </c>
      <c r="D55" s="4" t="s">
        <v>280</v>
      </c>
      <c r="E55" s="4"/>
      <c r="F55" s="4"/>
      <c r="G55" s="8">
        <v>2019</v>
      </c>
      <c r="H55" s="4" t="s">
        <v>66</v>
      </c>
      <c r="I55" s="4" t="s">
        <v>366</v>
      </c>
      <c r="J55" s="4"/>
      <c r="K55" s="11" t="s">
        <v>313</v>
      </c>
      <c r="L55" s="5" t="s">
        <v>178</v>
      </c>
      <c r="M55" s="14" t="s">
        <v>367</v>
      </c>
      <c r="N55" s="4" t="str">
        <f t="shared" si="3"/>
        <v>Ms. Briana Lynch</v>
      </c>
      <c r="O55" t="str">
        <f t="shared" si="0"/>
        <v>Brooklyn, NY  11217-2830</v>
      </c>
      <c r="P55" t="str">
        <f t="shared" si="1"/>
        <v>Ms. Briana Lynch
93 6th Avenue, 
Brooklyn, NY  11217-2830
------</v>
      </c>
    </row>
    <row r="56" spans="1:19" x14ac:dyDescent="0.15">
      <c r="A56" s="4"/>
      <c r="B56" s="4" t="s">
        <v>552</v>
      </c>
      <c r="C56" s="4" t="s">
        <v>4</v>
      </c>
      <c r="D56" s="4" t="s">
        <v>39</v>
      </c>
      <c r="E56" s="4" t="s">
        <v>67</v>
      </c>
      <c r="F56" s="4"/>
      <c r="G56" s="8">
        <v>2014</v>
      </c>
      <c r="H56" s="4" t="s">
        <v>66</v>
      </c>
      <c r="I56" s="4" t="s">
        <v>221</v>
      </c>
      <c r="J56" s="4"/>
      <c r="K56" s="11" t="s">
        <v>143</v>
      </c>
      <c r="L56" s="5" t="s">
        <v>179</v>
      </c>
      <c r="M56" s="14" t="s">
        <v>144</v>
      </c>
      <c r="N56" s="4" t="str">
        <f t="shared" si="3"/>
        <v>Mr. and Mrs. Peter Lynch</v>
      </c>
      <c r="O56" t="str">
        <f t="shared" si="0"/>
        <v>Wall Township, NJ  07753-6913</v>
      </c>
      <c r="P56" t="str">
        <f t="shared" si="1"/>
        <v>Mr. and Mrs. Peter Lynch
4703 Broad St, 
Wall Township, NJ  07753-6913
------</v>
      </c>
    </row>
    <row r="57" spans="1:19" x14ac:dyDescent="0.15">
      <c r="A57" s="15"/>
      <c r="B57" s="15" t="s">
        <v>375</v>
      </c>
      <c r="C57" s="15" t="s">
        <v>425</v>
      </c>
      <c r="D57" s="15" t="s">
        <v>442</v>
      </c>
      <c r="E57" s="15" t="s">
        <v>479</v>
      </c>
      <c r="F57" s="15"/>
      <c r="G57" s="16"/>
      <c r="H57" s="15" t="s">
        <v>443</v>
      </c>
      <c r="I57" s="15" t="s">
        <v>483</v>
      </c>
      <c r="J57" s="15" t="s">
        <v>484</v>
      </c>
      <c r="K57" s="15" t="s">
        <v>376</v>
      </c>
      <c r="L57" s="15" t="s">
        <v>184</v>
      </c>
      <c r="M57" s="15" t="s">
        <v>469</v>
      </c>
      <c r="N57" s="15" t="str">
        <f t="shared" si="3"/>
        <v>Dr. Isheta Madeka</v>
      </c>
      <c r="O57" t="str">
        <f t="shared" si="0"/>
        <v>Philadelphia, PA  19107-4272</v>
      </c>
      <c r="P57" t="str">
        <f t="shared" si="1"/>
        <v>Dr. Isheta Madeka
1101 Ludlow St, Apt 1418
Philadelphia, PA  19107-4272
------</v>
      </c>
      <c r="Q57" s="15"/>
      <c r="R57" s="15"/>
      <c r="S57" s="15"/>
    </row>
    <row r="58" spans="1:19" x14ac:dyDescent="0.15">
      <c r="B58" s="4" t="s">
        <v>375</v>
      </c>
      <c r="C58" t="s">
        <v>425</v>
      </c>
      <c r="D58" t="s">
        <v>431</v>
      </c>
      <c r="E58" t="s">
        <v>491</v>
      </c>
      <c r="H58" t="s">
        <v>432</v>
      </c>
      <c r="I58" s="4" t="s">
        <v>478</v>
      </c>
      <c r="J58" t="s">
        <v>479</v>
      </c>
      <c r="K58" t="s">
        <v>376</v>
      </c>
      <c r="L58" t="s">
        <v>184</v>
      </c>
      <c r="M58" s="4" t="s">
        <v>465</v>
      </c>
      <c r="N58" s="4" t="str">
        <f t="shared" si="3"/>
        <v>Dr. Sean McGinley</v>
      </c>
      <c r="O58" t="str">
        <f t="shared" si="0"/>
        <v>Philadelphia, PA  19146-1634</v>
      </c>
      <c r="P58" t="str">
        <f t="shared" si="1"/>
        <v>Dr. Sean McGinley
1535 Bainbridge St, 
Philadelphia, PA  19146-1634
------</v>
      </c>
    </row>
    <row r="59" spans="1:19" x14ac:dyDescent="0.15">
      <c r="A59" s="4"/>
      <c r="B59" s="4" t="s">
        <v>552</v>
      </c>
      <c r="C59" s="4" t="s">
        <v>4</v>
      </c>
      <c r="D59" s="4" t="s">
        <v>68</v>
      </c>
      <c r="E59" s="4" t="s">
        <v>69</v>
      </c>
      <c r="F59" s="4"/>
      <c r="G59" s="8">
        <v>2014</v>
      </c>
      <c r="H59" s="4" t="s">
        <v>70</v>
      </c>
      <c r="I59" s="4" t="s">
        <v>71</v>
      </c>
      <c r="J59" s="4"/>
      <c r="K59" s="11" t="s">
        <v>126</v>
      </c>
      <c r="L59" s="5" t="s">
        <v>179</v>
      </c>
      <c r="M59" s="14" t="s">
        <v>199</v>
      </c>
      <c r="N59" s="4" t="str">
        <f t="shared" si="3"/>
        <v>Mr. and Mrs. Frank McGovern</v>
      </c>
      <c r="O59" t="str">
        <f t="shared" si="0"/>
        <v>Cranford, NJ  07016-2423</v>
      </c>
      <c r="P59" t="str">
        <f t="shared" si="1"/>
        <v>Mr. and Mrs. Frank McGovern
214 Elizabeth Ave, 
Cranford, NJ  07016-2423
------</v>
      </c>
    </row>
    <row r="60" spans="1:19" x14ac:dyDescent="0.15">
      <c r="B60" s="4" t="s">
        <v>375</v>
      </c>
      <c r="C60" t="s">
        <v>425</v>
      </c>
      <c r="D60" t="s">
        <v>429</v>
      </c>
      <c r="H60" t="s">
        <v>430</v>
      </c>
      <c r="I60" s="4" t="s">
        <v>476</v>
      </c>
      <c r="J60" s="4" t="s">
        <v>477</v>
      </c>
      <c r="K60" s="4" t="s">
        <v>376</v>
      </c>
      <c r="L60" t="s">
        <v>184</v>
      </c>
      <c r="M60" s="4" t="s">
        <v>464</v>
      </c>
      <c r="N60" s="4" t="str">
        <f t="shared" si="3"/>
        <v>Dr. Ian McGrath</v>
      </c>
      <c r="O60" t="str">
        <f t="shared" si="0"/>
        <v>Philadelphia, PA  19103-4318</v>
      </c>
      <c r="P60" t="str">
        <f t="shared" si="1"/>
        <v>Dr. Ian McGrath
2400 Chestnut St, Apt 1405
Philadelphia, PA  19103-4318
------</v>
      </c>
    </row>
    <row r="61" spans="1:19" x14ac:dyDescent="0.15">
      <c r="B61" s="4" t="s">
        <v>552</v>
      </c>
      <c r="C61" s="4" t="s">
        <v>35</v>
      </c>
      <c r="D61" s="4" t="s">
        <v>374</v>
      </c>
      <c r="E61" s="4"/>
      <c r="H61" s="4" t="s">
        <v>371</v>
      </c>
      <c r="I61" s="4" t="s">
        <v>373</v>
      </c>
      <c r="K61" s="11" t="s">
        <v>119</v>
      </c>
      <c r="L61" s="12" t="s">
        <v>179</v>
      </c>
      <c r="M61" s="14" t="s">
        <v>372</v>
      </c>
      <c r="N61" s="4" t="str">
        <f t="shared" ref="N61:N87" si="4">TRIM(CONCATENATE(C61," ",D61," ",H61))</f>
        <v>Mr. Tom Michalczyk and Mrs. Susan Michalczyk</v>
      </c>
      <c r="O61" t="str">
        <f t="shared" si="0"/>
        <v>Clark, NJ  07066-2905</v>
      </c>
      <c r="P61" t="str">
        <f t="shared" si="1"/>
        <v>Mr. Tom Michalczyk and Mrs. Susan Michalczyk
31 Hilltop Ave, 
Clark, NJ  07066-2905
------</v>
      </c>
    </row>
    <row r="62" spans="1:19" x14ac:dyDescent="0.15">
      <c r="A62" s="4"/>
      <c r="B62" s="4" t="s">
        <v>552</v>
      </c>
      <c r="C62" s="4" t="s">
        <v>73</v>
      </c>
      <c r="D62" s="4" t="s">
        <v>7</v>
      </c>
      <c r="E62" s="4" t="s">
        <v>74</v>
      </c>
      <c r="F62" s="4"/>
      <c r="G62" s="8">
        <v>2012</v>
      </c>
      <c r="H62" s="4" t="s">
        <v>72</v>
      </c>
      <c r="I62" s="4" t="s">
        <v>223</v>
      </c>
      <c r="J62" s="4"/>
      <c r="K62" s="11" t="s">
        <v>126</v>
      </c>
      <c r="L62" s="5" t="s">
        <v>179</v>
      </c>
      <c r="M62" s="14" t="s">
        <v>200</v>
      </c>
      <c r="N62" s="4" t="str">
        <f t="shared" si="4"/>
        <v>Mr and Mrs Andrew Midura</v>
      </c>
      <c r="O62" t="str">
        <f t="shared" si="0"/>
        <v>Cranford, NJ  07016-1746</v>
      </c>
      <c r="P62" t="str">
        <f t="shared" si="1"/>
        <v>Mr and Mrs Andrew Midura
37 Beech St, 
Cranford, NJ  07016-1746
------</v>
      </c>
    </row>
    <row r="63" spans="1:19" x14ac:dyDescent="0.15">
      <c r="A63" s="4"/>
      <c r="B63" s="4" t="s">
        <v>552</v>
      </c>
      <c r="C63" s="4" t="s">
        <v>4</v>
      </c>
      <c r="D63" s="4" t="s">
        <v>20</v>
      </c>
      <c r="E63" s="4" t="s">
        <v>159</v>
      </c>
      <c r="F63" s="4"/>
      <c r="G63" s="8">
        <v>2014</v>
      </c>
      <c r="H63" s="4" t="s">
        <v>72</v>
      </c>
      <c r="I63" s="4" t="s">
        <v>222</v>
      </c>
      <c r="J63" s="4"/>
      <c r="K63" s="11" t="s">
        <v>119</v>
      </c>
      <c r="L63" s="5" t="s">
        <v>179</v>
      </c>
      <c r="M63" s="14" t="s">
        <v>145</v>
      </c>
      <c r="N63" s="4" t="str">
        <f t="shared" si="4"/>
        <v>Mr. and Mrs. Paul Midura</v>
      </c>
      <c r="O63" t="str">
        <f t="shared" si="0"/>
        <v>Clark, NJ  07066-2601</v>
      </c>
      <c r="P63" t="str">
        <f t="shared" si="1"/>
        <v>Mr. and Mrs. Paul Midura
51 Colonial Dr, 
Clark, NJ  07066-2601
------</v>
      </c>
    </row>
    <row r="64" spans="1:19" x14ac:dyDescent="0.15">
      <c r="A64" s="4"/>
      <c r="B64" s="4" t="s">
        <v>552</v>
      </c>
      <c r="C64" t="s">
        <v>40</v>
      </c>
      <c r="D64" s="4" t="s">
        <v>75</v>
      </c>
      <c r="E64" s="4" t="s">
        <v>76</v>
      </c>
      <c r="F64" s="4"/>
      <c r="G64" s="8">
        <v>2012</v>
      </c>
      <c r="H64" s="4" t="s">
        <v>77</v>
      </c>
      <c r="I64" s="4" t="s">
        <v>224</v>
      </c>
      <c r="J64" s="4"/>
      <c r="K64" s="11" t="s">
        <v>132</v>
      </c>
      <c r="L64" s="5" t="s">
        <v>178</v>
      </c>
      <c r="M64" s="14" t="s">
        <v>201</v>
      </c>
      <c r="N64" s="4" t="str">
        <f t="shared" si="4"/>
        <v>Mrs. Louis Miele</v>
      </c>
      <c r="O64" t="str">
        <f t="shared" si="0"/>
        <v>Bovina Center, NY  13740-6662</v>
      </c>
      <c r="P64" t="str">
        <f t="shared" si="1"/>
        <v>Mrs. Louis Miele
340 Paul Rabeler Rd, 
Bovina Center, NY  13740-6662
------</v>
      </c>
    </row>
    <row r="65" spans="1:16" x14ac:dyDescent="0.15">
      <c r="A65" s="4"/>
      <c r="B65" s="4" t="s">
        <v>552</v>
      </c>
      <c r="C65" s="4" t="s">
        <v>4</v>
      </c>
      <c r="D65" s="4" t="s">
        <v>78</v>
      </c>
      <c r="E65" s="4" t="s">
        <v>161</v>
      </c>
      <c r="F65" s="4"/>
      <c r="G65" s="8">
        <v>2019</v>
      </c>
      <c r="H65" s="4" t="s">
        <v>79</v>
      </c>
      <c r="I65" t="s">
        <v>319</v>
      </c>
      <c r="J65" s="4"/>
      <c r="K65" s="11" t="s">
        <v>320</v>
      </c>
      <c r="L65" s="5" t="s">
        <v>179</v>
      </c>
      <c r="M65" s="14" t="s">
        <v>321</v>
      </c>
      <c r="N65" s="4" t="str">
        <f t="shared" si="4"/>
        <v>Mr. and Mrs. Brian Myers</v>
      </c>
      <c r="O65" t="str">
        <f t="shared" si="0"/>
        <v>Franklin Lakes, NJ  07417-2327</v>
      </c>
      <c r="P65" t="str">
        <f t="shared" ref="P65:P115" si="5">N65&amp;CHAR(10)&amp;I65&amp;", "&amp;J65&amp;CHAR(10)&amp;O65&amp;CHAR(10)&amp;"------"</f>
        <v>Mr. and Mrs. Brian Myers
222 Lynn Drive, 
Franklin Lakes, NJ  07417-2327
------</v>
      </c>
    </row>
    <row r="66" spans="1:16" x14ac:dyDescent="0.15">
      <c r="A66" s="4"/>
      <c r="B66" s="4" t="s">
        <v>552</v>
      </c>
      <c r="C66" s="4" t="s">
        <v>4</v>
      </c>
      <c r="D66" s="4" t="s">
        <v>80</v>
      </c>
      <c r="E66" s="4"/>
      <c r="F66" s="4"/>
      <c r="G66" s="8">
        <v>2019</v>
      </c>
      <c r="H66" s="4" t="s">
        <v>81</v>
      </c>
      <c r="I66" s="4" t="s">
        <v>225</v>
      </c>
      <c r="J66" s="4"/>
      <c r="K66" s="11" t="s">
        <v>123</v>
      </c>
      <c r="L66" s="5" t="s">
        <v>179</v>
      </c>
      <c r="M66" s="14" t="s">
        <v>202</v>
      </c>
      <c r="N66" s="4" t="str">
        <f t="shared" si="4"/>
        <v>Mr. and Mrs. Gregory Natchez</v>
      </c>
      <c r="O66" t="str">
        <f t="shared" ref="O66:O115" si="6">CONCATENATE(K66,", ",L66,"  ",M66)</f>
        <v>Randolph, NJ  07869-2715</v>
      </c>
      <c r="P66" t="str">
        <f t="shared" si="5"/>
        <v>Mr. and Mrs. Gregory Natchez
2 Hutchins Ln, 
Randolph, NJ  07869-2715
------</v>
      </c>
    </row>
    <row r="67" spans="1:16" x14ac:dyDescent="0.15">
      <c r="A67" s="4"/>
      <c r="B67" s="4" t="s">
        <v>552</v>
      </c>
      <c r="C67" s="4" t="s">
        <v>4</v>
      </c>
      <c r="D67" s="4" t="s">
        <v>33</v>
      </c>
      <c r="E67" s="4" t="s">
        <v>108</v>
      </c>
      <c r="F67" s="4"/>
      <c r="G67" s="8">
        <v>2019</v>
      </c>
      <c r="H67" s="4" t="s">
        <v>82</v>
      </c>
      <c r="I67" s="4" t="s">
        <v>316</v>
      </c>
      <c r="J67" s="4"/>
      <c r="K67" s="11" t="s">
        <v>317</v>
      </c>
      <c r="L67" s="5" t="s">
        <v>203</v>
      </c>
      <c r="M67" s="14" t="s">
        <v>318</v>
      </c>
      <c r="N67" s="4" t="str">
        <f t="shared" si="4"/>
        <v>Mr. and Mrs. James O'Brien</v>
      </c>
      <c r="O67" t="str">
        <f t="shared" si="6"/>
        <v>Ukiah, CA  95482-8915</v>
      </c>
      <c r="P67" t="str">
        <f t="shared" si="5"/>
        <v>Mr. and Mrs. James O'Brien
4020 Fracchia Road, 
Ukiah, CA  95482-8915
------</v>
      </c>
    </row>
    <row r="68" spans="1:16" x14ac:dyDescent="0.15">
      <c r="B68" s="4" t="s">
        <v>552</v>
      </c>
      <c r="C68" s="4" t="s">
        <v>346</v>
      </c>
      <c r="D68" s="4" t="s">
        <v>431</v>
      </c>
      <c r="E68" s="4" t="s">
        <v>517</v>
      </c>
      <c r="H68" s="4" t="s">
        <v>518</v>
      </c>
      <c r="I68" s="4" t="s">
        <v>349</v>
      </c>
      <c r="K68" s="11" t="s">
        <v>119</v>
      </c>
      <c r="L68" s="12" t="s">
        <v>179</v>
      </c>
      <c r="M68" s="14" t="s">
        <v>345</v>
      </c>
      <c r="N68" s="4" t="str">
        <f t="shared" si="4"/>
        <v>Mr. and Mrs. Sean Farley</v>
      </c>
      <c r="O68" t="str">
        <f t="shared" si="6"/>
        <v>Clark, NJ  07066-2906</v>
      </c>
      <c r="P68" t="str">
        <f t="shared" si="5"/>
        <v>Mr. and Mrs. Sean Farley
28 Hilltop Avenue, 
Clark, NJ  07066-2906
------</v>
      </c>
    </row>
    <row r="69" spans="1:16" x14ac:dyDescent="0.15">
      <c r="B69" s="4" t="s">
        <v>375</v>
      </c>
      <c r="C69" t="s">
        <v>425</v>
      </c>
      <c r="D69" t="s">
        <v>452</v>
      </c>
      <c r="E69" t="s">
        <v>479</v>
      </c>
      <c r="H69" t="s">
        <v>453</v>
      </c>
      <c r="I69" s="4" t="s">
        <v>454</v>
      </c>
      <c r="J69" s="4" t="s">
        <v>455</v>
      </c>
      <c r="K69" t="s">
        <v>456</v>
      </c>
      <c r="L69" t="s">
        <v>179</v>
      </c>
      <c r="M69" s="4" t="s">
        <v>475</v>
      </c>
      <c r="N69" s="4" t="str">
        <f t="shared" si="4"/>
        <v>Dr. Pavan Patel</v>
      </c>
      <c r="O69" t="str">
        <f t="shared" si="6"/>
        <v>New Brunswick, NJ  08901-4107</v>
      </c>
      <c r="P69" t="str">
        <f t="shared" si="5"/>
        <v>Dr. Pavan Patel
1 Richmond St, Apt 2023
New Brunswick, NJ  08901-4107
------</v>
      </c>
    </row>
    <row r="70" spans="1:16" x14ac:dyDescent="0.15">
      <c r="A70" s="4"/>
      <c r="B70" s="4" t="s">
        <v>552</v>
      </c>
      <c r="C70" s="4" t="s">
        <v>4</v>
      </c>
      <c r="D70" s="4" t="s">
        <v>33</v>
      </c>
      <c r="E70" s="4" t="s">
        <v>83</v>
      </c>
      <c r="F70" s="4"/>
      <c r="G70" s="8">
        <v>2014</v>
      </c>
      <c r="H70" s="4" t="s">
        <v>84</v>
      </c>
      <c r="I70" s="4" t="s">
        <v>226</v>
      </c>
      <c r="J70" s="4"/>
      <c r="K70" s="11" t="s">
        <v>127</v>
      </c>
      <c r="L70" s="5" t="s">
        <v>179</v>
      </c>
      <c r="M70" s="14" t="s">
        <v>146</v>
      </c>
      <c r="N70" s="4" t="str">
        <f t="shared" si="4"/>
        <v>Mr. and Mrs. James Phillips</v>
      </c>
      <c r="O70" t="str">
        <f t="shared" si="6"/>
        <v>Bridgewater, NJ  08807-5622</v>
      </c>
      <c r="P70" t="str">
        <f t="shared" si="5"/>
        <v>Mr. and Mrs. James Phillips
10 King Dr, 
Bridgewater, NJ  08807-5622
------</v>
      </c>
    </row>
    <row r="71" spans="1:16" x14ac:dyDescent="0.15">
      <c r="A71" s="4"/>
      <c r="B71" s="4" t="s">
        <v>552</v>
      </c>
      <c r="C71" s="4" t="s">
        <v>4</v>
      </c>
      <c r="D71" s="10" t="s">
        <v>111</v>
      </c>
      <c r="E71" s="4"/>
      <c r="F71" s="4"/>
      <c r="G71" s="8">
        <v>2011</v>
      </c>
      <c r="H71" s="4" t="s">
        <v>112</v>
      </c>
      <c r="I71" s="4" t="s">
        <v>227</v>
      </c>
      <c r="J71" s="4"/>
      <c r="K71" s="11" t="s">
        <v>136</v>
      </c>
      <c r="L71" s="5" t="s">
        <v>204</v>
      </c>
      <c r="M71" s="14" t="s">
        <v>113</v>
      </c>
      <c r="N71" s="4" t="str">
        <f t="shared" si="4"/>
        <v>Mr. and Mrs. Missy Pieczynski</v>
      </c>
      <c r="O71" t="str">
        <f t="shared" si="6"/>
        <v>Virginia Beach, VA  23456-2492</v>
      </c>
      <c r="P71" t="str">
        <f t="shared" si="5"/>
        <v>Mr. and Mrs. Missy Pieczynski
2680 Alameda Dr, 
Virginia Beach, VA  23456-2492
------</v>
      </c>
    </row>
    <row r="72" spans="1:16" x14ac:dyDescent="0.15">
      <c r="B72" s="4" t="s">
        <v>552</v>
      </c>
      <c r="C72" t="s">
        <v>4</v>
      </c>
      <c r="D72" s="4" t="s">
        <v>335</v>
      </c>
      <c r="E72" t="s">
        <v>43</v>
      </c>
      <c r="H72" s="4" t="s">
        <v>339</v>
      </c>
      <c r="I72" t="s">
        <v>336</v>
      </c>
      <c r="K72" s="11" t="s">
        <v>337</v>
      </c>
      <c r="L72" s="12" t="s">
        <v>178</v>
      </c>
      <c r="M72" s="14" t="s">
        <v>338</v>
      </c>
      <c r="N72" s="4" t="str">
        <f t="shared" si="4"/>
        <v>Mr. and Mrs. Bob Pratti and Family</v>
      </c>
      <c r="O72" t="str">
        <f t="shared" si="6"/>
        <v>Port Jervis, NY  12771-3415</v>
      </c>
      <c r="P72" t="str">
        <f t="shared" si="5"/>
        <v>Mr. and Mrs. Bob Pratti and Family
93 Woods Road, 
Port Jervis, NY  12771-3415
------</v>
      </c>
    </row>
    <row r="73" spans="1:16" x14ac:dyDescent="0.15">
      <c r="B73" s="4" t="s">
        <v>552</v>
      </c>
      <c r="C73" t="s">
        <v>4</v>
      </c>
      <c r="D73" t="s">
        <v>327</v>
      </c>
      <c r="E73" t="s">
        <v>322</v>
      </c>
      <c r="H73" t="s">
        <v>323</v>
      </c>
      <c r="I73" t="s">
        <v>324</v>
      </c>
      <c r="K73" s="11" t="s">
        <v>325</v>
      </c>
      <c r="L73" s="12" t="s">
        <v>203</v>
      </c>
      <c r="M73" s="14" t="s">
        <v>326</v>
      </c>
      <c r="N73" s="4" t="str">
        <f t="shared" si="4"/>
        <v>Mr. and Mrs. Sonny Ramirez</v>
      </c>
      <c r="O73" t="str">
        <f t="shared" si="6"/>
        <v>San Mateo, CA  94402-3754</v>
      </c>
      <c r="P73" t="str">
        <f t="shared" si="5"/>
        <v>Mr. and Mrs. Sonny Ramirez
1851 White Cliff Way, 
San Mateo, CA  94402-3754
------</v>
      </c>
    </row>
    <row r="74" spans="1:16" x14ac:dyDescent="0.15">
      <c r="A74" s="4"/>
      <c r="B74" s="4" t="s">
        <v>552</v>
      </c>
      <c r="C74" s="4" t="s">
        <v>4</v>
      </c>
      <c r="D74" s="4" t="s">
        <v>168</v>
      </c>
      <c r="E74" s="4" t="s">
        <v>169</v>
      </c>
      <c r="F74" s="4"/>
      <c r="G74" s="8">
        <v>2014</v>
      </c>
      <c r="H74" s="4" t="s">
        <v>170</v>
      </c>
      <c r="I74" s="4" t="s">
        <v>379</v>
      </c>
      <c r="J74" s="4"/>
      <c r="K74" s="11" t="s">
        <v>380</v>
      </c>
      <c r="L74" s="5" t="s">
        <v>179</v>
      </c>
      <c r="M74" s="14" t="s">
        <v>381</v>
      </c>
      <c r="N74" s="4" t="str">
        <f t="shared" si="4"/>
        <v>Mr. and Mrs. Guillermo Reina</v>
      </c>
      <c r="O74" t="str">
        <f t="shared" si="6"/>
        <v>Brookside, NJ  07926-0001</v>
      </c>
      <c r="P74" t="str">
        <f t="shared" si="5"/>
        <v>Mr. and Mrs. Guillermo Reina
P.O. Box 1, 
Brookside, NJ  07926-0001
------</v>
      </c>
    </row>
    <row r="75" spans="1:16" x14ac:dyDescent="0.15">
      <c r="A75" s="4"/>
      <c r="B75" s="4" t="s">
        <v>552</v>
      </c>
      <c r="C75" s="4" t="s">
        <v>24</v>
      </c>
      <c r="D75" s="4" t="s">
        <v>110</v>
      </c>
      <c r="F75" s="4"/>
      <c r="G75" s="8">
        <v>2019</v>
      </c>
      <c r="H75" s="4" t="s">
        <v>85</v>
      </c>
      <c r="I75" s="4" t="s">
        <v>228</v>
      </c>
      <c r="J75" s="4"/>
      <c r="K75" s="11" t="s">
        <v>133</v>
      </c>
      <c r="L75" s="5" t="s">
        <v>205</v>
      </c>
      <c r="M75" s="14" t="s">
        <v>163</v>
      </c>
      <c r="N75" s="4" t="str">
        <f t="shared" si="4"/>
        <v>Ms. Claire Robbins</v>
      </c>
      <c r="O75" t="str">
        <f t="shared" si="6"/>
        <v>Franklin, MA  02038-3030</v>
      </c>
      <c r="P75" t="str">
        <f t="shared" si="5"/>
        <v>Ms. Claire Robbins
120 Washington St, 
Franklin, MA  02038-3030
------</v>
      </c>
    </row>
    <row r="76" spans="1:16" x14ac:dyDescent="0.15">
      <c r="A76" s="4"/>
      <c r="B76" s="4" t="s">
        <v>552</v>
      </c>
      <c r="C76" s="4" t="s">
        <v>40</v>
      </c>
      <c r="D76" s="4" t="s">
        <v>382</v>
      </c>
      <c r="E76" s="4"/>
      <c r="F76" s="4"/>
      <c r="G76" s="8">
        <v>2020</v>
      </c>
      <c r="H76" s="4" t="s">
        <v>383</v>
      </c>
      <c r="I76" s="4" t="s">
        <v>384</v>
      </c>
      <c r="J76" s="4"/>
      <c r="K76" s="11" t="s">
        <v>131</v>
      </c>
      <c r="L76" s="5" t="s">
        <v>184</v>
      </c>
      <c r="M76" s="14" t="s">
        <v>385</v>
      </c>
      <c r="N76" s="4" t="str">
        <f t="shared" si="4"/>
        <v>Mrs. Margaret Ronn</v>
      </c>
      <c r="O76" t="str">
        <f t="shared" si="6"/>
        <v>Easton, PA  18045-2178</v>
      </c>
      <c r="P76" t="str">
        <f t="shared" si="5"/>
        <v>Mrs. Margaret Ronn
124 Glenmoor Cir. S, 
Easton, PA  18045-2178
------</v>
      </c>
    </row>
    <row r="77" spans="1:16" x14ac:dyDescent="0.15">
      <c r="A77" s="4"/>
      <c r="B77" s="4" t="s">
        <v>552</v>
      </c>
      <c r="C77" s="4" t="s">
        <v>40</v>
      </c>
      <c r="D77" s="4" t="s">
        <v>20</v>
      </c>
      <c r="E77" s="4" t="s">
        <v>162</v>
      </c>
      <c r="F77" s="4"/>
      <c r="G77" s="8">
        <v>2014</v>
      </c>
      <c r="H77" s="4" t="s">
        <v>86</v>
      </c>
      <c r="I77" s="4" t="s">
        <v>229</v>
      </c>
      <c r="J77" s="4"/>
      <c r="K77" s="11" t="s">
        <v>120</v>
      </c>
      <c r="L77" s="5" t="s">
        <v>179</v>
      </c>
      <c r="M77" s="14" t="s">
        <v>190</v>
      </c>
      <c r="N77" s="4" t="str">
        <f t="shared" si="4"/>
        <v>Mrs. Paul Russell</v>
      </c>
      <c r="O77" t="str">
        <f t="shared" si="6"/>
        <v>Caldwell, NJ  07006-4918</v>
      </c>
      <c r="P77" t="str">
        <f t="shared" si="5"/>
        <v>Mrs. Paul Russell
12 Wakefield Pl, 
Caldwell, NJ  07006-4918
------</v>
      </c>
    </row>
    <row r="78" spans="1:16" x14ac:dyDescent="0.15">
      <c r="A78" s="4"/>
      <c r="B78" s="4" t="s">
        <v>552</v>
      </c>
      <c r="C78" s="4" t="s">
        <v>150</v>
      </c>
      <c r="D78" s="4"/>
      <c r="E78" s="4"/>
      <c r="F78" s="4"/>
      <c r="G78" s="8">
        <v>2019</v>
      </c>
      <c r="H78" s="4" t="s">
        <v>151</v>
      </c>
      <c r="I78" s="4" t="s">
        <v>234</v>
      </c>
      <c r="J78" s="4"/>
      <c r="K78" s="11" t="s">
        <v>152</v>
      </c>
      <c r="L78" s="5" t="s">
        <v>179</v>
      </c>
      <c r="M78" s="14" t="s">
        <v>153</v>
      </c>
      <c r="N78" s="4" t="str">
        <f t="shared" si="4"/>
        <v>Ginger and Vicki Sadowski</v>
      </c>
      <c r="O78" t="str">
        <f t="shared" si="6"/>
        <v>Marlboro, NJ  07746-2449</v>
      </c>
      <c r="P78" t="str">
        <f t="shared" si="5"/>
        <v>Ginger and Vicki Sadowski
303 Highgate Ct, 
Marlboro, NJ  07746-2449
------</v>
      </c>
    </row>
    <row r="79" spans="1:16" x14ac:dyDescent="0.15">
      <c r="A79" s="4"/>
      <c r="B79" s="4" t="s">
        <v>552</v>
      </c>
      <c r="C79" s="4" t="s">
        <v>4</v>
      </c>
      <c r="D79" s="4" t="s">
        <v>275</v>
      </c>
      <c r="E79" s="4" t="s">
        <v>276</v>
      </c>
      <c r="F79" s="4"/>
      <c r="G79" s="7"/>
      <c r="H79" s="4" t="s">
        <v>278</v>
      </c>
      <c r="I79" s="4" t="s">
        <v>277</v>
      </c>
      <c r="J79" s="4"/>
      <c r="K79" s="11" t="s">
        <v>119</v>
      </c>
      <c r="L79" s="5" t="s">
        <v>179</v>
      </c>
      <c r="M79" s="14" t="s">
        <v>279</v>
      </c>
      <c r="N79" s="4" t="str">
        <f t="shared" si="4"/>
        <v>Mr. and Mrs. Brad Salkin</v>
      </c>
      <c r="O79" t="str">
        <f t="shared" si="6"/>
        <v>Clark, NJ  07066-2621</v>
      </c>
      <c r="P79" t="str">
        <f t="shared" si="5"/>
        <v>Mr. and Mrs. Brad Salkin
87 St Germain Drive, 
Clark, NJ  07066-2621
------</v>
      </c>
    </row>
    <row r="80" spans="1:16" x14ac:dyDescent="0.15">
      <c r="A80" s="4"/>
      <c r="B80" s="4" t="s">
        <v>552</v>
      </c>
      <c r="C80" s="4" t="s">
        <v>4</v>
      </c>
      <c r="D80" s="4" t="s">
        <v>87</v>
      </c>
      <c r="E80" s="4" t="s">
        <v>175</v>
      </c>
      <c r="F80" s="4"/>
      <c r="G80" s="8"/>
      <c r="H80" s="4" t="s">
        <v>88</v>
      </c>
      <c r="I80" s="4" t="s">
        <v>89</v>
      </c>
      <c r="J80" s="4"/>
      <c r="K80" s="11" t="s">
        <v>130</v>
      </c>
      <c r="L80" s="5" t="s">
        <v>179</v>
      </c>
      <c r="M80" s="14" t="s">
        <v>206</v>
      </c>
      <c r="N80" s="4" t="str">
        <f t="shared" si="4"/>
        <v>Mr. and Mrs. Richard Satyavan</v>
      </c>
      <c r="O80" t="str">
        <f t="shared" si="6"/>
        <v>North Brunswick, NJ  08902-2665</v>
      </c>
      <c r="P80" t="str">
        <f t="shared" si="5"/>
        <v>Mr. and Mrs. Richard Satyavan
49 Silver Hollow, 
North Brunswick, NJ  08902-2665
------</v>
      </c>
    </row>
    <row r="81" spans="1:16" x14ac:dyDescent="0.15">
      <c r="A81" s="4"/>
      <c r="B81" s="4" t="s">
        <v>552</v>
      </c>
      <c r="C81" s="4" t="s">
        <v>40</v>
      </c>
      <c r="D81" s="4" t="s">
        <v>74</v>
      </c>
      <c r="E81" s="4"/>
      <c r="F81" s="4"/>
      <c r="G81" s="7"/>
      <c r="H81" s="4" t="s">
        <v>252</v>
      </c>
      <c r="I81" s="4" t="s">
        <v>253</v>
      </c>
      <c r="J81" s="4"/>
      <c r="K81" s="4" t="s">
        <v>254</v>
      </c>
      <c r="L81" s="5" t="s">
        <v>178</v>
      </c>
      <c r="M81" s="14" t="s">
        <v>255</v>
      </c>
      <c r="N81" s="4" t="str">
        <f t="shared" si="4"/>
        <v>Mrs. Lynn Scanzani</v>
      </c>
      <c r="O81" t="str">
        <f t="shared" si="6"/>
        <v>Staten Island, NY  10306-4234</v>
      </c>
      <c r="P81" t="str">
        <f t="shared" si="5"/>
        <v>Mrs. Lynn Scanzani
140 Reno Ave, 
Staten Island, NY  10306-4234
------</v>
      </c>
    </row>
    <row r="82" spans="1:16" x14ac:dyDescent="0.15">
      <c r="A82" s="4"/>
      <c r="B82" s="4" t="s">
        <v>552</v>
      </c>
      <c r="C82" s="4" t="s">
        <v>4</v>
      </c>
      <c r="D82" s="4" t="s">
        <v>90</v>
      </c>
      <c r="E82" s="4" t="s">
        <v>107</v>
      </c>
      <c r="F82" s="4"/>
      <c r="G82" s="8">
        <v>2019</v>
      </c>
      <c r="H82" s="4" t="s">
        <v>91</v>
      </c>
      <c r="I82" s="4" t="s">
        <v>230</v>
      </c>
      <c r="J82" s="4"/>
      <c r="K82" s="11" t="s">
        <v>134</v>
      </c>
      <c r="L82" s="5" t="s">
        <v>196</v>
      </c>
      <c r="M82" s="14" t="s">
        <v>207</v>
      </c>
      <c r="N82" s="4" t="str">
        <f t="shared" si="4"/>
        <v>Mr. and Mrs. Anthony Scarangella</v>
      </c>
      <c r="O82" t="str">
        <f t="shared" si="6"/>
        <v>Durham, NC  27705-1351</v>
      </c>
      <c r="P82" t="str">
        <f t="shared" si="5"/>
        <v>Mr. and Mrs. Anthony Scarangella
4 Goldenrod Pl, 
Durham, NC  27705-1351
------</v>
      </c>
    </row>
    <row r="83" spans="1:16" x14ac:dyDescent="0.15">
      <c r="A83" s="4"/>
      <c r="B83" s="4" t="s">
        <v>552</v>
      </c>
      <c r="C83" s="4" t="s">
        <v>35</v>
      </c>
      <c r="D83" s="4" t="s">
        <v>284</v>
      </c>
      <c r="E83" s="4"/>
      <c r="F83" s="4"/>
      <c r="G83" s="7"/>
      <c r="H83" s="4" t="s">
        <v>285</v>
      </c>
      <c r="I83" s="4" t="s">
        <v>396</v>
      </c>
      <c r="J83" s="4" t="s">
        <v>397</v>
      </c>
      <c r="K83" s="11"/>
      <c r="L83" s="5" t="s">
        <v>398</v>
      </c>
      <c r="N83" s="4" t="str">
        <f t="shared" si="4"/>
        <v>Mr. Philipp Schaefer</v>
      </c>
      <c r="O83" t="str">
        <f t="shared" si="6"/>
        <v xml:space="preserve">, Germany  </v>
      </c>
      <c r="P83" t="str">
        <f t="shared" si="5"/>
        <v>Mr. Philipp Schaefer
Johanna-Kirchner-Str. 26, 76189 Karlsruhe
, Germany  
------</v>
      </c>
    </row>
    <row r="84" spans="1:16" x14ac:dyDescent="0.15">
      <c r="A84" s="4"/>
      <c r="B84" s="4" t="s">
        <v>552</v>
      </c>
      <c r="C84" s="4" t="s">
        <v>40</v>
      </c>
      <c r="D84" s="4" t="s">
        <v>160</v>
      </c>
      <c r="E84" s="4"/>
      <c r="F84" s="4"/>
      <c r="G84" s="8">
        <v>2019</v>
      </c>
      <c r="H84" s="4" t="s">
        <v>92</v>
      </c>
      <c r="I84" s="4" t="s">
        <v>364</v>
      </c>
      <c r="J84" s="4"/>
      <c r="K84" s="11" t="s">
        <v>359</v>
      </c>
      <c r="L84" s="5" t="s">
        <v>184</v>
      </c>
      <c r="M84" s="14" t="s">
        <v>365</v>
      </c>
      <c r="N84" s="4" t="str">
        <f t="shared" si="4"/>
        <v>Mrs. Emily Schanck</v>
      </c>
      <c r="O84" t="str">
        <f t="shared" si="6"/>
        <v>Gordanville, PA  17529-9538</v>
      </c>
      <c r="P84" t="str">
        <f t="shared" si="5"/>
        <v>Mrs. Emily Schanck
63 Pleasant Road, 
Gordanville, PA  17529-9538
------</v>
      </c>
    </row>
    <row r="85" spans="1:16" x14ac:dyDescent="0.15">
      <c r="A85" s="4"/>
      <c r="B85" s="4" t="s">
        <v>552</v>
      </c>
      <c r="C85" s="4" t="s">
        <v>240</v>
      </c>
      <c r="D85" s="4" t="s">
        <v>241</v>
      </c>
      <c r="E85" s="4"/>
      <c r="F85" s="4"/>
      <c r="G85" s="7"/>
      <c r="H85" s="4" t="s">
        <v>242</v>
      </c>
      <c r="I85" s="4" t="s">
        <v>243</v>
      </c>
      <c r="J85" s="4"/>
      <c r="K85" s="11" t="s">
        <v>118</v>
      </c>
      <c r="L85" s="5" t="s">
        <v>179</v>
      </c>
      <c r="M85" s="14" t="s">
        <v>244</v>
      </c>
      <c r="N85" s="4" t="str">
        <f t="shared" si="4"/>
        <v>Mrs. Jennifer Scully</v>
      </c>
      <c r="O85" t="str">
        <f t="shared" si="6"/>
        <v>New Providence, NJ  07974-1721</v>
      </c>
      <c r="P85" t="str">
        <f t="shared" si="5"/>
        <v>Mrs. Jennifer Scully
36 Edgewood Ave, 
New Providence, NJ  07974-1721
------</v>
      </c>
    </row>
    <row r="86" spans="1:16" x14ac:dyDescent="0.15">
      <c r="A86" s="4"/>
      <c r="B86" s="4" t="s">
        <v>552</v>
      </c>
      <c r="C86" s="4" t="s">
        <v>4</v>
      </c>
      <c r="D86" s="4" t="s">
        <v>93</v>
      </c>
      <c r="E86" s="4" t="s">
        <v>94</v>
      </c>
      <c r="F86" s="4"/>
      <c r="G86" s="8">
        <v>2014</v>
      </c>
      <c r="H86" s="4" t="s">
        <v>520</v>
      </c>
      <c r="I86" s="4" t="s">
        <v>565</v>
      </c>
      <c r="J86" s="4"/>
      <c r="K86" s="11" t="s">
        <v>119</v>
      </c>
      <c r="L86" s="5" t="s">
        <v>179</v>
      </c>
      <c r="M86" s="14" t="s">
        <v>208</v>
      </c>
      <c r="N86" s="4" t="str">
        <f t="shared" si="4"/>
        <v>Mr. and Mrs. Daniel Sheldon Sr.</v>
      </c>
      <c r="O86" t="str">
        <f t="shared" si="6"/>
        <v>Clark, NJ  07066-3005</v>
      </c>
      <c r="P86" t="str">
        <f>N86&amp;CHAR(10)&amp;I87&amp;", "&amp;J86&amp;CHAR(10)&amp;O86&amp;CHAR(10)&amp;"------"</f>
        <v>Mr. and Mrs. Daniel Sheldon Sr.
1124 Summit Lane, 
Clark, NJ  07066-3005
------</v>
      </c>
    </row>
    <row r="87" spans="1:16" x14ac:dyDescent="0.15">
      <c r="B87" s="4" t="s">
        <v>552</v>
      </c>
      <c r="C87" s="4" t="s">
        <v>4</v>
      </c>
      <c r="D87" s="4" t="s">
        <v>93</v>
      </c>
      <c r="E87" s="4" t="s">
        <v>519</v>
      </c>
      <c r="H87" s="4" t="s">
        <v>521</v>
      </c>
      <c r="I87" s="4" t="s">
        <v>553</v>
      </c>
      <c r="J87" s="4" t="s">
        <v>500</v>
      </c>
      <c r="K87" s="11" t="s">
        <v>554</v>
      </c>
      <c r="L87" s="5" t="s">
        <v>179</v>
      </c>
      <c r="M87" s="14" t="s">
        <v>555</v>
      </c>
      <c r="N87" s="4" t="str">
        <f t="shared" si="4"/>
        <v>Mr. and Mrs. Daniel Sheldon Jr.</v>
      </c>
      <c r="O87" t="str">
        <f t="shared" si="6"/>
        <v>Mountainside, NJ  07092-1500</v>
      </c>
      <c r="P87" t="e">
        <f>N87&amp;CHAR(10)&amp;#REF!&amp;", "&amp;J87&amp;CHAR(10)&amp;O87&amp;CHAR(10)&amp;"------"</f>
        <v>#REF!</v>
      </c>
    </row>
    <row r="88" spans="1:16" x14ac:dyDescent="0.15">
      <c r="B88" s="4" t="s">
        <v>375</v>
      </c>
      <c r="C88" t="s">
        <v>425</v>
      </c>
      <c r="D88" t="s">
        <v>78</v>
      </c>
      <c r="E88" t="s">
        <v>493</v>
      </c>
      <c r="H88" t="s">
        <v>447</v>
      </c>
      <c r="I88" s="4" t="s">
        <v>487</v>
      </c>
      <c r="J88" t="s">
        <v>479</v>
      </c>
      <c r="K88" t="s">
        <v>376</v>
      </c>
      <c r="L88" t="s">
        <v>184</v>
      </c>
      <c r="M88" s="4" t="s">
        <v>471</v>
      </c>
      <c r="N88" s="4" t="str">
        <f t="shared" ref="N88:N95" si="7">TRIM(CONCATENATE(C88," ",D88," ",H88))</f>
        <v>Dr. Brian Smith</v>
      </c>
      <c r="O88" t="str">
        <f t="shared" si="6"/>
        <v>Philadelphia, PA  19146-1835</v>
      </c>
      <c r="P88" t="str">
        <f t="shared" si="5"/>
        <v>Dr. Brian Smith
1832 Catharine St, 
Philadelphia, PA  19146-1835
------</v>
      </c>
    </row>
    <row r="89" spans="1:16" x14ac:dyDescent="0.15">
      <c r="A89" s="4"/>
      <c r="B89" s="4" t="s">
        <v>552</v>
      </c>
      <c r="C89" s="4" t="s">
        <v>4</v>
      </c>
      <c r="D89" s="4" t="s">
        <v>98</v>
      </c>
      <c r="E89" s="4" t="s">
        <v>99</v>
      </c>
      <c r="F89" s="4"/>
      <c r="G89" s="8">
        <v>2011</v>
      </c>
      <c r="H89" s="4" t="s">
        <v>97</v>
      </c>
      <c r="I89" s="4" t="s">
        <v>410</v>
      </c>
      <c r="J89" s="4"/>
      <c r="K89" s="11" t="s">
        <v>411</v>
      </c>
      <c r="L89" s="5" t="s">
        <v>179</v>
      </c>
      <c r="M89" s="4" t="s">
        <v>412</v>
      </c>
      <c r="N89" s="4" t="str">
        <f t="shared" si="7"/>
        <v>Mr. and Mrs. Carman Spina</v>
      </c>
      <c r="O89" t="str">
        <f t="shared" si="6"/>
        <v>Toms River, NJ  08755-2503</v>
      </c>
      <c r="P89" t="str">
        <f t="shared" si="5"/>
        <v>Mr. and Mrs. Carman Spina
2369 Braddock Road, 
Toms River, NJ  08755-2503
------</v>
      </c>
    </row>
    <row r="90" spans="1:16" x14ac:dyDescent="0.15">
      <c r="A90" s="4"/>
      <c r="B90" s="4" t="s">
        <v>552</v>
      </c>
      <c r="C90" s="4" t="s">
        <v>4</v>
      </c>
      <c r="D90" s="4" t="s">
        <v>95</v>
      </c>
      <c r="E90" s="4" t="s">
        <v>96</v>
      </c>
      <c r="F90" s="4"/>
      <c r="G90" s="8">
        <v>2019</v>
      </c>
      <c r="H90" s="4" t="s">
        <v>97</v>
      </c>
      <c r="I90" s="4" t="s">
        <v>231</v>
      </c>
      <c r="J90" s="4"/>
      <c r="K90" s="11" t="s">
        <v>128</v>
      </c>
      <c r="L90" s="5" t="s">
        <v>179</v>
      </c>
      <c r="M90" s="14" t="s">
        <v>209</v>
      </c>
      <c r="N90" s="4" t="str">
        <f t="shared" si="7"/>
        <v>Mr. and Mrs. Guy Spina</v>
      </c>
      <c r="O90" t="str">
        <f t="shared" si="6"/>
        <v>Colonia, NJ  07067-2409</v>
      </c>
      <c r="P90" t="str">
        <f t="shared" si="5"/>
        <v>Mr. and Mrs. Guy Spina
58 Fordham Pl, 
Colonia, NJ  07067-2409
------</v>
      </c>
    </row>
    <row r="91" spans="1:16" x14ac:dyDescent="0.15">
      <c r="B91" s="4" t="s">
        <v>463</v>
      </c>
      <c r="C91" t="s">
        <v>24</v>
      </c>
      <c r="D91" t="s">
        <v>404</v>
      </c>
      <c r="H91" t="s">
        <v>403</v>
      </c>
      <c r="I91" s="4" t="s">
        <v>490</v>
      </c>
      <c r="J91" t="s">
        <v>479</v>
      </c>
      <c r="K91" t="s">
        <v>405</v>
      </c>
      <c r="L91" t="s">
        <v>286</v>
      </c>
      <c r="M91" s="4" t="s">
        <v>407</v>
      </c>
      <c r="N91" s="4" t="str">
        <f t="shared" si="7"/>
        <v>Ms. Erika Stafford</v>
      </c>
      <c r="O91" t="str">
        <f t="shared" si="6"/>
        <v>Overland Park, KS  66204-1215</v>
      </c>
      <c r="P91" t="str">
        <f t="shared" si="5"/>
        <v>Ms. Erika Stafford
8506 W 69Th St, 
Overland Park, KS  66204-1215
------</v>
      </c>
    </row>
    <row r="92" spans="1:16" x14ac:dyDescent="0.15">
      <c r="A92" s="4"/>
      <c r="B92" s="4" t="s">
        <v>552</v>
      </c>
      <c r="C92" s="4" t="s">
        <v>4</v>
      </c>
      <c r="D92" s="4" t="s">
        <v>100</v>
      </c>
      <c r="E92" s="4"/>
      <c r="F92" s="4"/>
      <c r="G92" s="8">
        <v>2014</v>
      </c>
      <c r="H92" s="4" t="s">
        <v>101</v>
      </c>
      <c r="I92" s="4"/>
      <c r="J92" s="4"/>
      <c r="K92" s="11"/>
      <c r="L92" s="5"/>
      <c r="N92" s="4" t="str">
        <f t="shared" si="7"/>
        <v>Mr. and Mrs. Douglas Steinke</v>
      </c>
      <c r="O92" t="str">
        <f t="shared" si="6"/>
        <v xml:space="preserve">,   </v>
      </c>
      <c r="P92" t="str">
        <f t="shared" si="5"/>
        <v>Mr. and Mrs. Douglas Steinke
, 
,   
------</v>
      </c>
    </row>
    <row r="93" spans="1:16" x14ac:dyDescent="0.15">
      <c r="A93" s="4"/>
      <c r="B93" s="4" t="s">
        <v>552</v>
      </c>
      <c r="C93" s="4" t="s">
        <v>35</v>
      </c>
      <c r="D93" s="4" t="s">
        <v>104</v>
      </c>
      <c r="E93" s="4"/>
      <c r="F93" s="4"/>
      <c r="G93" s="8">
        <v>2014</v>
      </c>
      <c r="H93" s="4" t="s">
        <v>101</v>
      </c>
      <c r="I93" s="4"/>
      <c r="J93" s="4"/>
      <c r="K93" s="11"/>
      <c r="L93" s="5"/>
      <c r="N93" s="4" t="str">
        <f t="shared" si="7"/>
        <v>Mr. Michael Steinke</v>
      </c>
      <c r="O93" t="str">
        <f t="shared" si="6"/>
        <v xml:space="preserve">,   </v>
      </c>
      <c r="P93" t="str">
        <f t="shared" si="5"/>
        <v>Mr. Michael Steinke
, 
,   
------</v>
      </c>
    </row>
    <row r="94" spans="1:16" x14ac:dyDescent="0.15">
      <c r="A94" s="4"/>
      <c r="B94" s="4" t="s">
        <v>552</v>
      </c>
      <c r="C94" s="4" t="s">
        <v>4</v>
      </c>
      <c r="D94" s="4" t="s">
        <v>87</v>
      </c>
      <c r="E94" s="4" t="s">
        <v>147</v>
      </c>
      <c r="F94" s="4"/>
      <c r="G94" s="8"/>
      <c r="H94" s="4" t="s">
        <v>148</v>
      </c>
      <c r="I94" s="4" t="s">
        <v>233</v>
      </c>
      <c r="J94" s="4"/>
      <c r="K94" s="11" t="s">
        <v>121</v>
      </c>
      <c r="L94" s="5" t="s">
        <v>179</v>
      </c>
      <c r="M94" s="14" t="s">
        <v>149</v>
      </c>
      <c r="N94" s="4" t="str">
        <f t="shared" si="7"/>
        <v>Mr. and Mrs. Richard Stiskal</v>
      </c>
      <c r="O94" t="str">
        <f t="shared" si="6"/>
        <v>Union, NJ  07083-9143</v>
      </c>
      <c r="P94" t="str">
        <f t="shared" si="5"/>
        <v>Mr. and Mrs. Richard Stiskal
685 Salem Rd, 
Union, NJ  07083-9143
------</v>
      </c>
    </row>
    <row r="95" spans="1:16" x14ac:dyDescent="0.15">
      <c r="A95" s="4"/>
      <c r="B95" s="4" t="s">
        <v>552</v>
      </c>
      <c r="C95" s="4" t="s">
        <v>4</v>
      </c>
      <c r="D95" s="4" t="s">
        <v>141</v>
      </c>
      <c r="E95" s="4"/>
      <c r="F95" s="4"/>
      <c r="G95" s="8">
        <v>2014</v>
      </c>
      <c r="H95" s="4" t="s">
        <v>102</v>
      </c>
      <c r="I95" s="4" t="s">
        <v>232</v>
      </c>
      <c r="J95" s="4"/>
      <c r="K95" s="11" t="s">
        <v>142</v>
      </c>
      <c r="L95" s="5" t="s">
        <v>184</v>
      </c>
      <c r="M95" s="14" t="s">
        <v>164</v>
      </c>
      <c r="N95" s="4" t="str">
        <f t="shared" si="7"/>
        <v>Mr. and Mrs. Artie Talbot</v>
      </c>
      <c r="O95" t="str">
        <f t="shared" si="6"/>
        <v>Bethlehem, PA  18017-8461</v>
      </c>
      <c r="P95" t="str">
        <f t="shared" si="5"/>
        <v>Mr. and Mrs. Artie Talbot
4471 Loraine Ln, 
Bethlehem, PA  18017-8461
------</v>
      </c>
    </row>
    <row r="96" spans="1:16" x14ac:dyDescent="0.15">
      <c r="A96" s="4"/>
      <c r="B96" s="4" t="s">
        <v>552</v>
      </c>
      <c r="C96" s="4" t="s">
        <v>40</v>
      </c>
      <c r="D96" s="4" t="s">
        <v>391</v>
      </c>
      <c r="E96" s="4" t="s">
        <v>334</v>
      </c>
      <c r="F96" s="4"/>
      <c r="G96" s="4"/>
      <c r="H96" s="4" t="s">
        <v>392</v>
      </c>
      <c r="I96" s="4" t="s">
        <v>419</v>
      </c>
      <c r="J96" s="4"/>
      <c r="K96" s="11" t="s">
        <v>417</v>
      </c>
      <c r="L96" s="5" t="s">
        <v>184</v>
      </c>
      <c r="M96" s="4" t="s">
        <v>418</v>
      </c>
      <c r="N96" s="4" t="str">
        <f>TRIM(CONCATENATE(C96," ",D96," ",H96," ",E96))</f>
        <v>Mrs. Glenda Taylor and Family</v>
      </c>
      <c r="O96" t="str">
        <f t="shared" si="6"/>
        <v>Effort, PA  18330-7746</v>
      </c>
      <c r="P96" t="str">
        <f t="shared" si="5"/>
        <v>Mrs. Glenda Taylor and Family
156 Squirrelwood CT, 
Effort, PA  18330-7746
------</v>
      </c>
    </row>
    <row r="97" spans="1:19" s="15" customFormat="1" x14ac:dyDescent="0.15">
      <c r="A97" s="4"/>
      <c r="B97" s="4" t="s">
        <v>552</v>
      </c>
      <c r="C97" s="4" t="s">
        <v>4</v>
      </c>
      <c r="D97" s="4" t="s">
        <v>87</v>
      </c>
      <c r="E97" s="4" t="s">
        <v>109</v>
      </c>
      <c r="F97" s="4"/>
      <c r="G97" s="8"/>
      <c r="H97" s="4" t="s">
        <v>103</v>
      </c>
      <c r="I97" s="4" t="s">
        <v>309</v>
      </c>
      <c r="J97" s="4"/>
      <c r="K97" s="11" t="s">
        <v>310</v>
      </c>
      <c r="L97" s="5" t="s">
        <v>311</v>
      </c>
      <c r="M97" s="14" t="s">
        <v>312</v>
      </c>
      <c r="N97" s="4" t="str">
        <f t="shared" ref="N97:N105" si="8">TRIM(CONCATENATE(C97," ",D97," ",H97))</f>
        <v>Mr. and Mrs. Richard Thorpe</v>
      </c>
      <c r="O97" t="str">
        <f t="shared" si="6"/>
        <v>Chippewa Falls, WI  54729-3789</v>
      </c>
      <c r="P97" t="str">
        <f t="shared" si="5"/>
        <v>Mr. and Mrs. Richard Thorpe
4850 90th St, 
Chippewa Falls, WI  54729-3789
------</v>
      </c>
      <c r="Q97"/>
      <c r="R97"/>
      <c r="S97"/>
    </row>
    <row r="98" spans="1:19" x14ac:dyDescent="0.15">
      <c r="A98" s="4"/>
      <c r="B98" s="4" t="s">
        <v>552</v>
      </c>
      <c r="C98" s="4" t="s">
        <v>4</v>
      </c>
      <c r="D98" s="4" t="s">
        <v>154</v>
      </c>
      <c r="E98" s="4"/>
      <c r="F98" s="4"/>
      <c r="G98" s="8"/>
      <c r="H98" s="4" t="s">
        <v>155</v>
      </c>
      <c r="I98" s="4" t="s">
        <v>235</v>
      </c>
      <c r="J98" s="4"/>
      <c r="K98" s="11" t="s">
        <v>156</v>
      </c>
      <c r="L98" s="5" t="s">
        <v>210</v>
      </c>
      <c r="M98" s="14" t="s">
        <v>211</v>
      </c>
      <c r="N98" s="4" t="str">
        <f t="shared" si="8"/>
        <v>Mr. and Mrs. Malcolm Toon</v>
      </c>
      <c r="O98" t="str">
        <f t="shared" si="6"/>
        <v>Cape Elizabeth, ME  04107-2204</v>
      </c>
      <c r="P98" t="str">
        <f t="shared" si="5"/>
        <v>Mr. and Mrs. Malcolm Toon
11 Longfellow Dr, 
Cape Elizabeth, ME  04107-2204
------</v>
      </c>
    </row>
    <row r="99" spans="1:19" x14ac:dyDescent="0.15">
      <c r="A99" s="4"/>
      <c r="B99" s="4" t="s">
        <v>552</v>
      </c>
      <c r="C99" s="4" t="s">
        <v>35</v>
      </c>
      <c r="D99" s="4" t="s">
        <v>249</v>
      </c>
      <c r="E99" s="4"/>
      <c r="F99" s="4"/>
      <c r="G99" s="7"/>
      <c r="H99" s="4" t="s">
        <v>250</v>
      </c>
      <c r="I99" s="4" t="s">
        <v>251</v>
      </c>
      <c r="J99" s="4"/>
      <c r="K99" s="11" t="s">
        <v>119</v>
      </c>
      <c r="L99" s="5" t="s">
        <v>179</v>
      </c>
      <c r="M99" s="14" t="s">
        <v>182</v>
      </c>
      <c r="N99" s="4" t="str">
        <f t="shared" si="8"/>
        <v>Mr. Mark Treacy</v>
      </c>
      <c r="O99" t="str">
        <f t="shared" si="6"/>
        <v>Clark, NJ  07066-2915</v>
      </c>
      <c r="P99" t="str">
        <f t="shared" si="5"/>
        <v>Mr. Mark Treacy
31 Ridge Rd, 
Clark, NJ  07066-2915
------</v>
      </c>
    </row>
    <row r="100" spans="1:19" x14ac:dyDescent="0.15">
      <c r="A100" s="4"/>
      <c r="B100" s="4" t="s">
        <v>552</v>
      </c>
      <c r="C100" s="4" t="s">
        <v>4</v>
      </c>
      <c r="D100" s="4" t="s">
        <v>104</v>
      </c>
      <c r="E100" s="4"/>
      <c r="F100" s="4"/>
      <c r="G100" s="7"/>
      <c r="H100" s="4" t="s">
        <v>247</v>
      </c>
      <c r="I100" s="4" t="s">
        <v>248</v>
      </c>
      <c r="J100" s="4"/>
      <c r="K100" s="11" t="s">
        <v>119</v>
      </c>
      <c r="L100" s="5" t="s">
        <v>179</v>
      </c>
      <c r="M100" s="14" t="s">
        <v>182</v>
      </c>
      <c r="N100" s="4" t="str">
        <f t="shared" si="8"/>
        <v>Mr. and Mrs. Michael Tropeano</v>
      </c>
      <c r="O100" t="str">
        <f t="shared" si="6"/>
        <v>Clark, NJ  07066-2915</v>
      </c>
      <c r="P100" t="str">
        <f t="shared" si="5"/>
        <v>Mr. and Mrs. Michael Tropeano
17 Ridge Rd, 
Clark, NJ  07066-2915
------</v>
      </c>
    </row>
    <row r="101" spans="1:19" x14ac:dyDescent="0.15">
      <c r="B101" s="4" t="s">
        <v>375</v>
      </c>
      <c r="C101" t="s">
        <v>425</v>
      </c>
      <c r="D101" t="s">
        <v>457</v>
      </c>
      <c r="E101" t="s">
        <v>479</v>
      </c>
      <c r="H101" t="s">
        <v>458</v>
      </c>
      <c r="I101" s="4" t="s">
        <v>489</v>
      </c>
      <c r="J101" s="4" t="s">
        <v>459</v>
      </c>
      <c r="K101" t="s">
        <v>376</v>
      </c>
      <c r="L101" t="s">
        <v>184</v>
      </c>
      <c r="M101" s="4" t="s">
        <v>472</v>
      </c>
      <c r="N101" s="4" t="str">
        <f t="shared" si="8"/>
        <v>Dr. Sage Vincent</v>
      </c>
      <c r="O101" t="str">
        <f t="shared" si="6"/>
        <v>Philadelphia, PA  19147-1984</v>
      </c>
      <c r="P101" t="str">
        <f t="shared" si="5"/>
        <v>Dr. Sage Vincent
716 S 11Th St, Unit 100
Philadelphia, PA  19147-1984
------</v>
      </c>
    </row>
    <row r="102" spans="1:19" x14ac:dyDescent="0.15">
      <c r="A102" s="4"/>
      <c r="B102" s="4" t="s">
        <v>463</v>
      </c>
      <c r="C102" s="4" t="s">
        <v>24</v>
      </c>
      <c r="D102" s="4" t="s">
        <v>315</v>
      </c>
      <c r="E102" s="4"/>
      <c r="F102" s="4"/>
      <c r="G102" s="7"/>
      <c r="H102" s="4" t="s">
        <v>300</v>
      </c>
      <c r="I102" s="4" t="s">
        <v>561</v>
      </c>
      <c r="J102" s="4" t="s">
        <v>562</v>
      </c>
      <c r="K102" s="11" t="s">
        <v>563</v>
      </c>
      <c r="L102" s="5" t="s">
        <v>286</v>
      </c>
      <c r="M102" s="4" t="s">
        <v>564</v>
      </c>
      <c r="N102" s="4" t="str">
        <f t="shared" si="8"/>
        <v>Ms. Katie Volle</v>
      </c>
      <c r="O102" t="str">
        <f t="shared" si="6"/>
        <v>Lenexa, KS  66215-2762</v>
      </c>
      <c r="P102" t="str">
        <f t="shared" si="5"/>
        <v>Ms. Katie Volle
8221 Quivira Road, Apt 4108
Lenexa, KS  66215-2762
------</v>
      </c>
    </row>
    <row r="103" spans="1:19" x14ac:dyDescent="0.15">
      <c r="B103" s="14" t="s">
        <v>463</v>
      </c>
      <c r="C103" s="4" t="s">
        <v>4</v>
      </c>
      <c r="D103" s="4" t="s">
        <v>87</v>
      </c>
      <c r="E103" s="4" t="s">
        <v>299</v>
      </c>
      <c r="H103" s="4" t="s">
        <v>300</v>
      </c>
      <c r="I103" s="4" t="s">
        <v>301</v>
      </c>
      <c r="K103" t="s">
        <v>302</v>
      </c>
      <c r="L103" s="5" t="s">
        <v>286</v>
      </c>
      <c r="M103" s="14" t="s">
        <v>303</v>
      </c>
      <c r="N103" s="4" t="str">
        <f t="shared" si="8"/>
        <v>Mr. and Mrs. Richard Volle</v>
      </c>
      <c r="O103" t="str">
        <f t="shared" si="6"/>
        <v>Grantville , KS  66429-9275</v>
      </c>
      <c r="P103" t="str">
        <f t="shared" si="5"/>
        <v>Mr. and Mrs. Richard Volle
3691 Butler Road, 
Grantville , KS  66429-9275
------</v>
      </c>
    </row>
    <row r="104" spans="1:19" x14ac:dyDescent="0.15">
      <c r="B104" s="4" t="s">
        <v>552</v>
      </c>
      <c r="C104" s="4" t="s">
        <v>4</v>
      </c>
      <c r="D104" s="4" t="s">
        <v>342</v>
      </c>
      <c r="E104" s="4" t="s">
        <v>67</v>
      </c>
      <c r="H104" s="4" t="s">
        <v>343</v>
      </c>
      <c r="I104" s="4" t="s">
        <v>344</v>
      </c>
      <c r="K104" s="11" t="s">
        <v>119</v>
      </c>
      <c r="L104" s="12" t="s">
        <v>179</v>
      </c>
      <c r="M104" s="14" t="s">
        <v>345</v>
      </c>
      <c r="N104" s="4" t="str">
        <f t="shared" si="8"/>
        <v>Mr. and Mrs. Tom Wacaster</v>
      </c>
      <c r="O104" t="str">
        <f t="shared" si="6"/>
        <v>Clark, NJ  07066-2906</v>
      </c>
      <c r="P104" t="str">
        <f t="shared" si="5"/>
        <v>Mr. and Mrs. Tom Wacaster
20 Hilltop Avenue, 
Clark, NJ  07066-2906
------</v>
      </c>
    </row>
    <row r="105" spans="1:19" x14ac:dyDescent="0.15">
      <c r="A105" s="4"/>
      <c r="B105" s="4" t="s">
        <v>552</v>
      </c>
      <c r="C105" s="4" t="s">
        <v>4</v>
      </c>
      <c r="D105" s="4" t="s">
        <v>104</v>
      </c>
      <c r="E105" s="4" t="s">
        <v>105</v>
      </c>
      <c r="F105" s="4"/>
      <c r="G105" s="8">
        <v>2019</v>
      </c>
      <c r="H105" s="4" t="s">
        <v>106</v>
      </c>
      <c r="I105" s="4" t="s">
        <v>360</v>
      </c>
      <c r="J105" s="4"/>
      <c r="K105" s="11" t="s">
        <v>361</v>
      </c>
      <c r="L105" s="5" t="s">
        <v>362</v>
      </c>
      <c r="M105" s="14" t="s">
        <v>363</v>
      </c>
      <c r="N105" s="4" t="str">
        <f t="shared" si="8"/>
        <v>Mr. and Mrs. Michael Walsh</v>
      </c>
      <c r="O105" t="str">
        <f t="shared" si="6"/>
        <v>Longs, SC  29568-8806</v>
      </c>
      <c r="P105" t="str">
        <f t="shared" si="5"/>
        <v>Mr. and Mrs. Michael Walsh
2325 Brick Drive, 
Longs, SC  29568-8806
------</v>
      </c>
    </row>
    <row r="106" spans="1:19" x14ac:dyDescent="0.15">
      <c r="B106" s="14" t="s">
        <v>551</v>
      </c>
      <c r="C106" s="4" t="s">
        <v>4</v>
      </c>
      <c r="D106" s="4" t="s">
        <v>39</v>
      </c>
      <c r="E106" s="4" t="s">
        <v>305</v>
      </c>
      <c r="H106" s="4" t="s">
        <v>304</v>
      </c>
      <c r="I106" s="4" t="s">
        <v>306</v>
      </c>
      <c r="K106" s="11" t="s">
        <v>307</v>
      </c>
      <c r="L106" s="5" t="s">
        <v>178</v>
      </c>
      <c r="M106" s="14" t="s">
        <v>308</v>
      </c>
      <c r="N106" s="4" t="str">
        <f>TRIM(CONCATENATE(C106," ",D106," ",H106))</f>
        <v>Mr. and Mrs. Peter Williams</v>
      </c>
      <c r="O106" t="str">
        <f t="shared" si="6"/>
        <v>Bedford, NY  10506-1540</v>
      </c>
      <c r="P106" t="str">
        <f t="shared" si="5"/>
        <v>Mr. and Mrs. Peter Williams
9 Ambler Drive, 
Bedford, NY  10506-1540
------</v>
      </c>
    </row>
    <row r="107" spans="1:19" x14ac:dyDescent="0.15">
      <c r="A107" s="4"/>
      <c r="B107" s="14" t="s">
        <v>551</v>
      </c>
      <c r="C107" s="4" t="s">
        <v>4</v>
      </c>
      <c r="D107" s="4" t="s">
        <v>139</v>
      </c>
      <c r="E107" s="4"/>
      <c r="F107" s="4"/>
      <c r="G107" s="4"/>
      <c r="H107" s="4" t="s">
        <v>140</v>
      </c>
      <c r="I107" s="4" t="s">
        <v>507</v>
      </c>
      <c r="J107" s="4"/>
      <c r="K107" s="11" t="s">
        <v>143</v>
      </c>
      <c r="L107" s="5" t="s">
        <v>179</v>
      </c>
      <c r="M107" s="14" t="s">
        <v>508</v>
      </c>
      <c r="N107" s="4" t="str">
        <f>TRIM(CONCATENATE(C107," ",D107," ",H107))</f>
        <v>Mr. and Mrs. Dennis Wombough</v>
      </c>
      <c r="O107" t="str">
        <f t="shared" si="6"/>
        <v>Wall Township, NJ  07719-9536</v>
      </c>
      <c r="P107" t="str">
        <f t="shared" si="5"/>
        <v>Mr. and Mrs. Dennis Wombough
2141 Baileys Corner Rd, 
Wall Township, NJ  07719-9536
------</v>
      </c>
    </row>
    <row r="108" spans="1:19" x14ac:dyDescent="0.15">
      <c r="B108" s="14" t="s">
        <v>375</v>
      </c>
      <c r="C108" s="4" t="s">
        <v>425</v>
      </c>
      <c r="D108" s="4" t="s">
        <v>429</v>
      </c>
      <c r="H108" s="4" t="s">
        <v>430</v>
      </c>
      <c r="I108" s="4" t="s">
        <v>522</v>
      </c>
      <c r="J108" s="4" t="s">
        <v>523</v>
      </c>
      <c r="K108" s="11" t="s">
        <v>376</v>
      </c>
      <c r="L108" s="5" t="s">
        <v>184</v>
      </c>
      <c r="M108" s="4" t="s">
        <v>530</v>
      </c>
      <c r="N108" s="4" t="str">
        <f>TRIM(CONCATENATE(C108," ",D108," ",H108))</f>
        <v>Dr. Ian McGrath</v>
      </c>
      <c r="O108" t="str">
        <f t="shared" si="6"/>
        <v>Philadelphia, PA  19103-1090</v>
      </c>
      <c r="P108" t="str">
        <f t="shared" si="5"/>
        <v>Dr. Ian McGrath
2323 Race Street, Unit 1119
Philadelphia, PA  19103-1090
------</v>
      </c>
    </row>
    <row r="109" spans="1:19" x14ac:dyDescent="0.15">
      <c r="B109" s="4" t="s">
        <v>375</v>
      </c>
      <c r="C109" s="4" t="s">
        <v>425</v>
      </c>
      <c r="D109" s="4" t="s">
        <v>524</v>
      </c>
      <c r="H109" s="4" t="s">
        <v>525</v>
      </c>
      <c r="I109" s="4" t="s">
        <v>526</v>
      </c>
      <c r="K109" s="11" t="s">
        <v>527</v>
      </c>
      <c r="L109" s="5" t="s">
        <v>205</v>
      </c>
      <c r="M109" s="4" t="s">
        <v>531</v>
      </c>
      <c r="N109" s="4" t="str">
        <f>TRIM(CONCATENATE(C109," ",D109," ",H109))</f>
        <v>Dr. Jeffery Hennstenburg</v>
      </c>
      <c r="O109" t="str">
        <f t="shared" si="6"/>
        <v>Boston, MA  02116-6109</v>
      </c>
      <c r="P109" t="str">
        <f t="shared" si="5"/>
        <v>Dr. Jeffery Hennstenburg
97A Appleton Street, 
Boston, MA  02116-6109
------</v>
      </c>
    </row>
    <row r="110" spans="1:19" x14ac:dyDescent="0.15">
      <c r="B110" s="4" t="s">
        <v>375</v>
      </c>
      <c r="C110" s="4" t="s">
        <v>425</v>
      </c>
      <c r="D110" s="4" t="s">
        <v>431</v>
      </c>
      <c r="E110" s="4" t="s">
        <v>528</v>
      </c>
      <c r="H110" s="4" t="s">
        <v>432</v>
      </c>
      <c r="I110" s="4" t="s">
        <v>529</v>
      </c>
      <c r="K110" s="11" t="s">
        <v>376</v>
      </c>
      <c r="L110" s="5" t="s">
        <v>184</v>
      </c>
      <c r="M110" s="4" t="s">
        <v>465</v>
      </c>
      <c r="N110" s="4" t="str">
        <f>TRIM(CONCATENATE(C110," ",D110," ",H110))</f>
        <v>Dr. Sean McGinley</v>
      </c>
      <c r="O110" t="str">
        <f t="shared" si="6"/>
        <v>Philadelphia, PA  19146-1634</v>
      </c>
      <c r="P110" t="str">
        <f t="shared" si="5"/>
        <v>Dr. Sean McGinley
1535 Bainbridge Street, 
Philadelphia, PA  19146-1634
------</v>
      </c>
    </row>
    <row r="111" spans="1:19" x14ac:dyDescent="0.15">
      <c r="B111" s="4" t="s">
        <v>375</v>
      </c>
      <c r="C111" s="4" t="s">
        <v>35</v>
      </c>
      <c r="D111" s="4" t="s">
        <v>460</v>
      </c>
      <c r="E111" s="4" t="s">
        <v>537</v>
      </c>
      <c r="H111" s="4" t="s">
        <v>536</v>
      </c>
      <c r="I111" s="4" t="s">
        <v>529</v>
      </c>
      <c r="K111" s="11" t="s">
        <v>376</v>
      </c>
      <c r="L111" s="5" t="s">
        <v>184</v>
      </c>
      <c r="M111" s="4" t="s">
        <v>465</v>
      </c>
      <c r="N111" s="4" t="str">
        <f>TRIM(CONCATENATE(C111," ",D111," ",H111," ",E111))</f>
        <v>Mr. Adam Marianelli and Ms. Grace Emmet Smith</v>
      </c>
      <c r="O111" t="str">
        <f t="shared" si="6"/>
        <v>Philadelphia, PA  19146-1634</v>
      </c>
      <c r="P111" t="str">
        <f t="shared" si="5"/>
        <v>Mr. Adam Marianelli and Ms. Grace Emmet Smith
1535 Bainbridge Street, 
Philadelphia, PA  19146-1634
------</v>
      </c>
    </row>
    <row r="112" spans="1:19" x14ac:dyDescent="0.15">
      <c r="B112" s="4" t="s">
        <v>538</v>
      </c>
      <c r="H112" s="4" t="s">
        <v>539</v>
      </c>
      <c r="I112" s="4" t="s">
        <v>540</v>
      </c>
      <c r="K112" s="11" t="s">
        <v>541</v>
      </c>
      <c r="L112" s="5" t="s">
        <v>179</v>
      </c>
      <c r="M112" s="4" t="s">
        <v>542</v>
      </c>
      <c r="N112" s="4" t="str">
        <f>TRIM(CONCATENATE(C112," ",D112," ",H112," ",E112))</f>
        <v>Professional Physical Therapy</v>
      </c>
      <c r="O112" t="str">
        <f t="shared" si="6"/>
        <v>Westfield, NJ  07090-3143</v>
      </c>
      <c r="P112" t="str">
        <f t="shared" si="5"/>
        <v>Professional Physical Therapy
105 Elm Street, 
Westfield, NJ  07090-3143
------</v>
      </c>
    </row>
    <row r="113" spans="2:16" x14ac:dyDescent="0.15">
      <c r="B113" s="4" t="s">
        <v>552</v>
      </c>
      <c r="C113" s="4" t="s">
        <v>559</v>
      </c>
      <c r="D113" s="4"/>
      <c r="E113" s="4"/>
      <c r="H113" s="4" t="s">
        <v>42</v>
      </c>
      <c r="I113" s="4" t="s">
        <v>556</v>
      </c>
      <c r="J113" s="4" t="s">
        <v>557</v>
      </c>
      <c r="K113" s="11" t="s">
        <v>558</v>
      </c>
      <c r="L113" s="5" t="s">
        <v>179</v>
      </c>
      <c r="M113" s="14" t="s">
        <v>560</v>
      </c>
      <c r="N113" s="4" t="str">
        <f>TRIM(CONCATENATE(C113," ",D113," ",H113," ",E113))</f>
        <v>Drs. Patrick and Alyssa Kellish</v>
      </c>
      <c r="O113" t="str">
        <f t="shared" si="6"/>
        <v>Plainfield, NJ  07060-3367</v>
      </c>
      <c r="P113" t="str">
        <f t="shared" si="5"/>
        <v>Drs. Patrick and Alyssa Kellish
1330 Randolph Road, Apt 610
Plainfield, NJ  07060-3367
------</v>
      </c>
    </row>
    <row r="114" spans="2:16" x14ac:dyDescent="0.15">
      <c r="B114" s="4" t="s">
        <v>463</v>
      </c>
      <c r="C114" s="4" t="s">
        <v>4</v>
      </c>
      <c r="D114" s="4" t="s">
        <v>566</v>
      </c>
      <c r="E114" s="4" t="s">
        <v>568</v>
      </c>
      <c r="H114" s="4" t="s">
        <v>515</v>
      </c>
      <c r="I114" s="4" t="s">
        <v>567</v>
      </c>
      <c r="K114" s="4" t="s">
        <v>406</v>
      </c>
      <c r="L114" s="5" t="s">
        <v>286</v>
      </c>
      <c r="M114" s="14" t="s">
        <v>409</v>
      </c>
      <c r="N114" s="4" t="str">
        <f t="shared" ref="N114:N115" si="9">TRIM(CONCATENATE(C114," ",D114," ",H114))</f>
        <v>Mr. and Mrs. Cory Craver</v>
      </c>
      <c r="O114" t="str">
        <f t="shared" si="6"/>
        <v>Walton, KS  67151-9013</v>
      </c>
      <c r="P114" t="str">
        <f t="shared" si="5"/>
        <v>Mr. and Mrs. Cory Craver
9300 NE 60th street, 
Walton, KS  67151-9013
------</v>
      </c>
    </row>
    <row r="115" spans="2:16" x14ac:dyDescent="0.15">
      <c r="B115" s="4" t="s">
        <v>551</v>
      </c>
      <c r="C115" s="4" t="s">
        <v>35</v>
      </c>
      <c r="D115" s="4" t="s">
        <v>68</v>
      </c>
      <c r="H115" s="4" t="s">
        <v>569</v>
      </c>
      <c r="I115" s="4" t="s">
        <v>570</v>
      </c>
      <c r="J115" s="4" t="s">
        <v>571</v>
      </c>
      <c r="K115" s="11" t="s">
        <v>572</v>
      </c>
      <c r="L115" s="5" t="s">
        <v>203</v>
      </c>
      <c r="M115" s="14" t="s">
        <v>573</v>
      </c>
      <c r="N115" s="4" t="str">
        <f t="shared" si="9"/>
        <v>Mr. Frank Schwarzenau</v>
      </c>
      <c r="O115" t="str">
        <f t="shared" si="6"/>
        <v>San Francisco, CA  94107-2963</v>
      </c>
      <c r="P115" t="str">
        <f t="shared" si="5"/>
        <v>Mr. Frank Schwarzenau
690 Pennsylvania Avenue, Apt 213
San Francisco, CA  94107-2963
------</v>
      </c>
    </row>
  </sheetData>
  <autoFilter ref="A1:S112" xr:uid="{00000000-0001-0000-0000-000000000000}"/>
  <sortState xmlns:xlrd2="http://schemas.microsoft.com/office/spreadsheetml/2017/richdata2" ref="A2:S108">
    <sortCondition ref="H2:H108"/>
    <sortCondition ref="D2:D108"/>
  </sortState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Sheet1!addresses</vt:lpstr>
      <vt:lpstr>Sheet1!Print_Area</vt:lpstr>
      <vt:lpstr>Recipients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Kellish</dc:creator>
  <cp:lastModifiedBy>Scott Kellish</cp:lastModifiedBy>
  <cp:lastPrinted>2022-12-24T15:19:51Z</cp:lastPrinted>
  <dcterms:created xsi:type="dcterms:W3CDTF">2009-12-13T15:01:57Z</dcterms:created>
  <dcterms:modified xsi:type="dcterms:W3CDTF">2025-09-29T02:23:56Z</dcterms:modified>
</cp:coreProperties>
</file>